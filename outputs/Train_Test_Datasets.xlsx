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ining" sheetId="2" state="visible" r:id="rId2"/>
    <sheet xmlns:r="http://schemas.openxmlformats.org/officeDocument/2006/relationships" name="Validation" sheetId="3" state="visible" r:id="rId3"/>
    <sheet xmlns:r="http://schemas.openxmlformats.org/officeDocument/2006/relationships" name="Test" sheetId="4" state="visible" r:id="rId4"/>
    <sheet xmlns:r="http://schemas.openxmlformats.org/officeDocument/2006/relationships" name="Feature Dictionary" sheetId="5" state="visible" r:id="rId5"/>
  </sheets>
  <definedNames>
    <definedName name="_xlnm._FilterDatabase" localSheetId="1" hidden="1">'Training'!$A$1:$AH$322</definedName>
    <definedName name="_xlnm._FilterDatabase" localSheetId="2" hidden="1">'Validation'!$A$1:$AH$108</definedName>
    <definedName name="_xlnm._FilterDatabase" localSheetId="3" hidden="1">'Test'!$A$1:$AH$108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b val="1"/>
    </font>
    <font>
      <name val="Arial"/>
      <color theme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165" fontId="5" fillId="0" borderId="0" pivotButton="0" quotePrefix="0" xfId="0"/>
    <xf numFmtId="2" fontId="5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24" customWidth="1" min="4" max="4"/>
    <col width="24" customWidth="1" min="5" max="5"/>
    <col width="13" customWidth="1" min="6" max="6"/>
    <col width="8" customWidth="1" min="7" max="7"/>
    <col width="8" customWidth="1" min="8" max="8"/>
    <col width="8" customWidth="1" min="9" max="9"/>
    <col width="12" customWidth="1" min="10" max="10"/>
  </cols>
  <sheetData>
    <row r="1">
      <c r="A1" s="1" t="inlineStr">
        <is>
          <t>Training and Test Data Sets — Mainshock Magnitude Forecasting (PHIVOLCS 1907–2026)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inlineStr">
        <is>
          <t>Partition</t>
        </is>
      </c>
      <c r="B3" s="3" t="inlineStr">
        <is>
          <t>n sequences</t>
        </is>
      </c>
      <c r="C3" s="3" t="inlineStr">
        <is>
          <t>% of total</t>
        </is>
      </c>
      <c r="D3" s="3" t="inlineStr">
        <is>
          <t>First mainshock</t>
        </is>
      </c>
      <c r="E3" s="3" t="inlineStr">
        <is>
          <t>Last mainshock</t>
        </is>
      </c>
      <c r="F3" s="3" t="inlineStr">
        <is>
          <t>Mean target M</t>
        </is>
      </c>
      <c r="G3" s="3" t="inlineStr">
        <is>
          <t>SD</t>
        </is>
      </c>
      <c r="H3" s="3" t="inlineStr">
        <is>
          <t>Min</t>
        </is>
      </c>
      <c r="I3" s="3" t="inlineStr">
        <is>
          <t>Max</t>
        </is>
      </c>
      <c r="J3" s="3" t="inlineStr">
        <is>
          <t>n (M ≥ 6.0)</t>
        </is>
      </c>
    </row>
    <row r="4">
      <c r="A4" s="2" t="inlineStr">
        <is>
          <t>Training</t>
        </is>
      </c>
      <c r="B4" s="2">
        <f>COUNT('Training'!F2:F322)</f>
        <v/>
      </c>
      <c r="C4" s="4">
        <f>B4/SUM($B$4:$B$6)</f>
        <v/>
      </c>
      <c r="D4" s="2">
        <f>'Training'!A2</f>
        <v/>
      </c>
      <c r="E4" s="2">
        <f>'Training'!A322</f>
        <v/>
      </c>
      <c r="F4" s="5">
        <f>AVERAGE('Training'!F2:F322)</f>
        <v/>
      </c>
      <c r="G4" s="5">
        <f>STDEV('Training'!F2:F322)</f>
        <v/>
      </c>
      <c r="H4" s="5">
        <f>MIN('Training'!F2:F322)</f>
        <v/>
      </c>
      <c r="I4" s="5">
        <f>MAX('Training'!F2:F322)</f>
        <v/>
      </c>
      <c r="J4" s="2">
        <f>COUNTIF('Training'!F2:F322,"&gt;=6")</f>
        <v/>
      </c>
    </row>
    <row r="5">
      <c r="A5" s="2" t="inlineStr">
        <is>
          <t>Validation</t>
        </is>
      </c>
      <c r="B5" s="2">
        <f>COUNT('Validation'!F2:F108)</f>
        <v/>
      </c>
      <c r="C5" s="4">
        <f>B5/SUM($B$4:$B$6)</f>
        <v/>
      </c>
      <c r="D5" s="2">
        <f>'Validation'!A2</f>
        <v/>
      </c>
      <c r="E5" s="2">
        <f>'Validation'!A108</f>
        <v/>
      </c>
      <c r="F5" s="5">
        <f>AVERAGE('Validation'!F2:F108)</f>
        <v/>
      </c>
      <c r="G5" s="5">
        <f>STDEV('Validation'!F2:F108)</f>
        <v/>
      </c>
      <c r="H5" s="5">
        <f>MIN('Validation'!F2:F108)</f>
        <v/>
      </c>
      <c r="I5" s="5">
        <f>MAX('Validation'!F2:F108)</f>
        <v/>
      </c>
      <c r="J5" s="2">
        <f>COUNTIF('Validation'!F2:F108,"&gt;=6")</f>
        <v/>
      </c>
    </row>
    <row r="6">
      <c r="A6" s="2" t="inlineStr">
        <is>
          <t>Test</t>
        </is>
      </c>
      <c r="B6" s="2">
        <f>COUNT('Test'!F2:F108)</f>
        <v/>
      </c>
      <c r="C6" s="4">
        <f>B6/SUM($B$4:$B$6)</f>
        <v/>
      </c>
      <c r="D6" s="2">
        <f>'Test'!A2</f>
        <v/>
      </c>
      <c r="E6" s="2">
        <f>'Test'!A108</f>
        <v/>
      </c>
      <c r="F6" s="5">
        <f>AVERAGE('Test'!F2:F108)</f>
        <v/>
      </c>
      <c r="G6" s="5">
        <f>STDEV('Test'!F2:F108)</f>
        <v/>
      </c>
      <c r="H6" s="5">
        <f>MIN('Test'!F2:F108)</f>
        <v/>
      </c>
      <c r="I6" s="5">
        <f>MAX('Test'!F2:F108)</f>
        <v/>
      </c>
      <c r="J6" s="2">
        <f>COUNTIF('Test'!F2:F108,"&gt;=6")</f>
        <v/>
      </c>
    </row>
    <row r="7">
      <c r="A7" s="6" t="inlineStr">
        <is>
          <t>Total</t>
        </is>
      </c>
      <c r="B7" s="6">
        <f>SUM(B4:B6)</f>
        <v/>
      </c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inlineStr">
        <is>
          <t>Source: outputs/tables/feature_matrix.csv, produced by earthquake_analysis.py from 'Earthquake Data Sets NEW.xlsx'.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inlineStr">
        <is>
          <t>Each row is one mainshock sequence: 27 features computed from foreshocks within 30 days / 100 km before the mainshock (see Feature Dictionary).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inlineStr">
        <is>
          <t>Target = mainshock magnitude (regression target); TargetClass = its magnitude class.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inlineStr">
        <is>
          <t>Split is strictly chronological 60:20:20 (CFG.SPLIT_FRACTIONS), never shuffled — same as chronological_split() in the analysis.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inlineStr">
        <is>
          <t>Training sheet: used to tune hyper-parameters (scored on Validation).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inlineStr">
        <is>
          <t>Final leaderboard models (Table 39) were refit on Training + Validation (428 sequences) and scored once on Test.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2" customWidth="1" min="13" max="13"/>
    <col width="10" customWidth="1" min="14" max="14"/>
    <col width="10" customWidth="1" min="15" max="15"/>
    <col width="11" customWidth="1" min="16" max="16"/>
    <col width="12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1" customWidth="1" min="26" max="26"/>
    <col width="10" customWidth="1" min="27" max="27"/>
    <col width="12" customWidth="1" min="28" max="28"/>
    <col width="12" customWidth="1" min="29" max="29"/>
    <col width="10" customWidth="1" min="30" max="30"/>
    <col width="11" customWidth="1" min="31" max="31"/>
    <col width="10" customWidth="1" min="32" max="32"/>
    <col width="11" customWidth="1" min="33" max="33"/>
    <col width="13" customWidth="1" min="34" max="34"/>
  </cols>
  <sheetData>
    <row r="1">
      <c r="A1" s="7" t="inlineStr">
        <is>
          <t>MainshockTime</t>
        </is>
      </c>
      <c r="B1" s="7" t="inlineStr">
        <is>
          <t>MainshockYear</t>
        </is>
      </c>
      <c r="C1" s="7" t="inlineStr">
        <is>
          <t>MainshockLat</t>
        </is>
      </c>
      <c r="D1" s="7" t="inlineStr">
        <is>
          <t>MainshockLon</t>
        </is>
      </c>
      <c r="E1" s="7" t="inlineStr">
        <is>
          <t>MainshockDepth</t>
        </is>
      </c>
      <c r="F1" s="7" t="inlineStr">
        <is>
          <t>Target</t>
        </is>
      </c>
      <c r="G1" s="7" t="inlineStr">
        <is>
          <t>NO</t>
        </is>
      </c>
      <c r="H1" s="7" t="inlineStr">
        <is>
          <t>Mag_max</t>
        </is>
      </c>
      <c r="I1" s="7" t="inlineStr">
        <is>
          <t>Mag_mean</t>
        </is>
      </c>
      <c r="J1" s="7" t="inlineStr">
        <is>
          <t>b_lsq</t>
        </is>
      </c>
      <c r="K1" s="7" t="inlineStr">
        <is>
          <t>a_lsq</t>
        </is>
      </c>
      <c r="L1" s="7" t="inlineStr">
        <is>
          <t>b_std_lsq</t>
        </is>
      </c>
      <c r="M1" s="7" t="inlineStr">
        <is>
          <t>std_gr_lsq</t>
        </is>
      </c>
      <c r="N1" s="7" t="inlineStr">
        <is>
          <t>b_mlk</t>
        </is>
      </c>
      <c r="O1" s="7" t="inlineStr">
        <is>
          <t>a_mlk</t>
        </is>
      </c>
      <c r="P1" s="7" t="inlineStr">
        <is>
          <t>b_std_mlk</t>
        </is>
      </c>
      <c r="Q1" s="7" t="inlineStr">
        <is>
          <t>std_gr_mlk</t>
        </is>
      </c>
      <c r="R1" s="7" t="inlineStr">
        <is>
          <t>dM_lsq</t>
        </is>
      </c>
      <c r="S1" s="7" t="inlineStr">
        <is>
          <t>dM_mlk</t>
        </is>
      </c>
      <c r="T1" s="7" t="inlineStr">
        <is>
          <t>Energy</t>
        </is>
      </c>
      <c r="U1" s="7" t="inlineStr">
        <is>
          <t>x7_lsq</t>
        </is>
      </c>
      <c r="V1" s="7" t="inlineStr">
        <is>
          <t>x7_mlk</t>
        </is>
      </c>
      <c r="W1" s="7" t="inlineStr">
        <is>
          <t>zvalue</t>
        </is>
      </c>
      <c r="X1" s="7" t="inlineStr">
        <is>
          <t>beta</t>
        </is>
      </c>
      <c r="Y1" s="7" t="inlineStr">
        <is>
          <t>Dist_min</t>
        </is>
      </c>
      <c r="Z1" s="7" t="inlineStr">
        <is>
          <t>Dist_mean</t>
        </is>
      </c>
      <c r="AA1" s="7" t="inlineStr">
        <is>
          <t>Dist_std</t>
        </is>
      </c>
      <c r="AB1" s="7" t="inlineStr">
        <is>
          <t>Dist_wmean</t>
        </is>
      </c>
      <c r="AC1" s="7" t="inlineStr">
        <is>
          <t>Dist_trend</t>
        </is>
      </c>
      <c r="AD1" s="7" t="inlineStr">
        <is>
          <t>T_elaps6</t>
        </is>
      </c>
      <c r="AE1" s="7" t="inlineStr">
        <is>
          <t>T_elaps65</t>
        </is>
      </c>
      <c r="AF1" s="7" t="inlineStr">
        <is>
          <t>T_elaps7</t>
        </is>
      </c>
      <c r="AG1" s="7" t="inlineStr">
        <is>
          <t>T_elaps75</t>
        </is>
      </c>
      <c r="AH1" s="7" t="inlineStr">
        <is>
          <t>TargetClass</t>
        </is>
      </c>
    </row>
    <row r="2">
      <c r="A2" s="8" t="inlineStr">
        <is>
          <t>1957-02-11 14:25:43.000</t>
        </is>
      </c>
      <c r="B2" s="8" t="n">
        <v>1957</v>
      </c>
      <c r="C2" s="9" t="n">
        <v>10</v>
      </c>
      <c r="D2" s="9" t="n">
        <v>126</v>
      </c>
      <c r="E2" s="8" t="n">
        <v>33</v>
      </c>
      <c r="F2" s="9" t="n">
        <v>6.5</v>
      </c>
      <c r="G2" s="9" t="n">
        <v>3</v>
      </c>
      <c r="H2" s="9" t="n">
        <v>6.7</v>
      </c>
      <c r="I2" s="9" t="n">
        <v>6.600000000000001</v>
      </c>
      <c r="J2" s="9" t="n">
        <v>2.385606273598311</v>
      </c>
      <c r="K2" s="9" t="n">
        <v>16.00438515587673</v>
      </c>
      <c r="L2" s="9" t="n">
        <v>0.7557266632048387</v>
      </c>
      <c r="M2" s="9" t="n">
        <v>0.0360667066065058</v>
      </c>
      <c r="N2" s="9" t="n">
        <v>2.895296546021672</v>
      </c>
      <c r="O2" s="9" t="n">
        <v>19.29654880386053</v>
      </c>
      <c r="P2" s="9" t="n">
        <v>1.113149032428996</v>
      </c>
      <c r="Q2" s="9" t="n">
        <v>0.1078416351329119</v>
      </c>
      <c r="R2" s="9" t="n">
        <v>-0.008728650238094099</v>
      </c>
      <c r="S2" s="9" t="n">
        <v>0.0352081566997828</v>
      </c>
      <c r="T2" s="9" t="n">
        <v>1551746896292.478</v>
      </c>
      <c r="U2" s="9" t="n">
        <v>6.96917193762568e-08</v>
      </c>
      <c r="V2" s="9" t="n">
        <v>2.061153622438658e-09</v>
      </c>
      <c r="W2" s="9" t="n">
        <v>-1</v>
      </c>
      <c r="X2" s="9" t="n">
        <v>8.672617004934883</v>
      </c>
      <c r="Y2" s="9" t="n">
        <v>23.8647864175967</v>
      </c>
      <c r="Z2" s="9" t="n">
        <v>45.6783491542749</v>
      </c>
      <c r="AA2" s="9" t="n">
        <v>18.89109947700892</v>
      </c>
      <c r="AB2" s="9" t="n">
        <v>41.77373445083234</v>
      </c>
      <c r="AC2" s="9" t="n">
        <v>124.3848102848793</v>
      </c>
      <c r="AD2" s="9" t="n">
        <v>0.5492939814794227</v>
      </c>
      <c r="AE2" s="9" t="n">
        <v>0.5492939814794227</v>
      </c>
      <c r="AF2" s="9" t="n">
        <v>1790.144861111108</v>
      </c>
      <c r="AG2" s="9" t="n">
        <v>1790.144861111108</v>
      </c>
      <c r="AH2" s="8" t="inlineStr">
        <is>
          <t>Strong (6.0-6.9)</t>
        </is>
      </c>
    </row>
    <row r="3">
      <c r="A3" s="8" t="inlineStr">
        <is>
          <t>1957-02-13 00:29:48.000</t>
        </is>
      </c>
      <c r="B3" s="8" t="n">
        <v>1957</v>
      </c>
      <c r="C3" s="9" t="n">
        <v>10.1</v>
      </c>
      <c r="D3" s="9" t="n">
        <v>126.5</v>
      </c>
      <c r="E3" s="8" t="n">
        <v>33</v>
      </c>
      <c r="F3" s="9" t="n">
        <v>5.7</v>
      </c>
      <c r="G3" s="9" t="n">
        <v>4</v>
      </c>
      <c r="H3" s="9" t="n">
        <v>6.7</v>
      </c>
      <c r="I3" s="9" t="n">
        <v>6.575</v>
      </c>
      <c r="J3" s="9" t="n">
        <v>3.010299956639811</v>
      </c>
      <c r="K3" s="9" t="n">
        <v>20.16900970948673</v>
      </c>
      <c r="L3" s="9" t="n">
        <v>0.99775314318529</v>
      </c>
      <c r="M3" s="9" t="n">
        <v>1.171620677643723e-14</v>
      </c>
      <c r="N3" s="9" t="n">
        <v>3.474355855226015</v>
      </c>
      <c r="O3" s="9" t="n">
        <v>23.18537305029706</v>
      </c>
      <c r="P3" s="9" t="n">
        <v>1.329083163473094</v>
      </c>
      <c r="Q3" s="9" t="n">
        <v>0.07337368005842559</v>
      </c>
      <c r="R3" s="9" t="n">
        <v>3.552713678800501e-15</v>
      </c>
      <c r="S3" s="9" t="n">
        <v>0.0267132048600142</v>
      </c>
      <c r="T3" s="9" t="n">
        <v>1705610056191.22</v>
      </c>
      <c r="U3" s="9" t="n">
        <v>9.313225746154822e-10</v>
      </c>
      <c r="V3" s="9" t="n">
        <v>3.775134544279108e-11</v>
      </c>
      <c r="W3" s="9" t="n">
        <v>-1.549193338482967</v>
      </c>
      <c r="X3" s="9" t="n">
        <v>10.01427552475536</v>
      </c>
      <c r="Y3" s="9" t="n">
        <v>23.8647864175967</v>
      </c>
      <c r="Z3" s="9" t="n">
        <v>48.40504449635968</v>
      </c>
      <c r="AA3" s="9" t="n">
        <v>16.36017205250865</v>
      </c>
      <c r="AB3" s="9" t="n">
        <v>44.51262946476507</v>
      </c>
      <c r="AC3" s="9" t="n">
        <v>20.33637600511251</v>
      </c>
      <c r="AD3" s="9" t="n">
        <v>1.419502314816782</v>
      </c>
      <c r="AE3" s="9" t="n">
        <v>1.419502314816782</v>
      </c>
      <c r="AF3" s="9" t="n">
        <v>1791.564363425925</v>
      </c>
      <c r="AG3" s="9" t="n">
        <v>1791.564363425925</v>
      </c>
      <c r="AH3" s="8" t="inlineStr">
        <is>
          <t>Moderate (5.0-5.9)</t>
        </is>
      </c>
    </row>
    <row r="4">
      <c r="A4" s="8" t="inlineStr">
        <is>
          <t>1965-08-08 04:32:45.400</t>
        </is>
      </c>
      <c r="B4" s="8" t="n">
        <v>1965</v>
      </c>
      <c r="C4" s="9" t="n">
        <v>6.6</v>
      </c>
      <c r="D4" s="9" t="n">
        <v>126.7</v>
      </c>
      <c r="E4" s="8" t="n">
        <v>99</v>
      </c>
      <c r="F4" s="9" t="n">
        <v>5</v>
      </c>
      <c r="G4" s="9" t="n">
        <v>3</v>
      </c>
      <c r="H4" s="9" t="n">
        <v>5.1</v>
      </c>
      <c r="I4" s="9" t="n">
        <v>4.8</v>
      </c>
      <c r="J4" s="9" t="n">
        <v>0.5767855668282794</v>
      </c>
      <c r="K4" s="9" t="n">
        <v>2.987515346564274</v>
      </c>
      <c r="L4" s="9" t="n">
        <v>0.1592823495953642</v>
      </c>
      <c r="M4" s="9" t="n">
        <v>0.08437908520728291</v>
      </c>
      <c r="N4" s="9" t="n">
        <v>0.9650988486738944</v>
      </c>
      <c r="O4" s="9" t="n">
        <v>4.723556188884799</v>
      </c>
      <c r="P4" s="9" t="n">
        <v>0.4459462126284331</v>
      </c>
      <c r="Q4" s="9" t="n">
        <v>0.1720697027690373</v>
      </c>
      <c r="R4" s="9" t="n">
        <v>-0.0795944946967042</v>
      </c>
      <c r="S4" s="9" t="n">
        <v>0.2056244700993508</v>
      </c>
      <c r="T4" s="9" t="n">
        <v>47512430726.64314</v>
      </c>
      <c r="U4" s="9" t="n">
        <v>0.0186055837053989</v>
      </c>
      <c r="V4" s="9" t="n">
        <v>0.0012726338013397</v>
      </c>
      <c r="W4" s="9" t="n">
        <v>-0.4472135954999578</v>
      </c>
      <c r="X4" s="9" t="n">
        <v>4.308100197271101</v>
      </c>
      <c r="Y4" s="9" t="n">
        <v>23.3536325225792</v>
      </c>
      <c r="Z4" s="9" t="n">
        <v>34.9292453215513</v>
      </c>
      <c r="AA4" s="9" t="n">
        <v>11.20633856473895</v>
      </c>
      <c r="AB4" s="9" t="n">
        <v>28.50104435627451</v>
      </c>
      <c r="AC4" s="9" t="n">
        <v>1.545845089284335</v>
      </c>
      <c r="AD4" s="9" t="n">
        <v>807.5559652777774</v>
      </c>
      <c r="AE4" s="9" t="n">
        <v>8818.712342592593</v>
      </c>
      <c r="AF4" s="9" t="n">
        <v>10625.40106944445</v>
      </c>
      <c r="AG4" s="9" t="n">
        <v>15090.50677546296</v>
      </c>
      <c r="AH4" s="8" t="inlineStr">
        <is>
          <t>Moderate (5.0-5.9)</t>
        </is>
      </c>
    </row>
    <row r="5">
      <c r="A5" s="8" t="inlineStr">
        <is>
          <t>1966-06-08 22:01:17.000</t>
        </is>
      </c>
      <c r="B5" s="8" t="n">
        <v>1966</v>
      </c>
      <c r="C5" s="9" t="n">
        <v>9.640000000000001</v>
      </c>
      <c r="D5" s="9" t="n">
        <v>126.68</v>
      </c>
      <c r="E5" s="8" t="n">
        <v>47</v>
      </c>
      <c r="F5" s="9" t="n">
        <v>5.1</v>
      </c>
      <c r="G5" s="9" t="n">
        <v>3</v>
      </c>
      <c r="H5" s="9" t="n">
        <v>5.6</v>
      </c>
      <c r="I5" s="9" t="n">
        <v>5.166666666666667</v>
      </c>
      <c r="J5" s="9" t="n">
        <v>0.57678556682828</v>
      </c>
      <c r="K5" s="9" t="n">
        <v>3.125393132146426</v>
      </c>
      <c r="L5" s="9" t="n">
        <v>0.1672513291030442</v>
      </c>
      <c r="M5" s="9" t="n">
        <v>0.1212126591060533</v>
      </c>
      <c r="N5" s="9" t="n">
        <v>1.371456258641849</v>
      </c>
      <c r="O5" s="9" t="n">
        <v>7.197256922064723</v>
      </c>
      <c r="P5" s="9" t="n">
        <v>0.9455940494198056</v>
      </c>
      <c r="Q5" s="9" t="n">
        <v>0.2530754094419445</v>
      </c>
      <c r="R5" s="9" t="n">
        <v>0.1813603670202184</v>
      </c>
      <c r="S5" s="9" t="n">
        <v>0.3521061085884307</v>
      </c>
      <c r="T5" s="9" t="n">
        <v>116975800036.5104</v>
      </c>
      <c r="U5" s="9" t="n">
        <v>0.0186055837053989</v>
      </c>
      <c r="V5" s="9" t="n">
        <v>7.684776196487846e-05</v>
      </c>
      <c r="W5" s="9" t="n">
        <v>-1.441153384245784</v>
      </c>
      <c r="X5" s="9" t="n">
        <v>4.047396061842092</v>
      </c>
      <c r="Y5" s="9" t="n">
        <v>51.5696301555786</v>
      </c>
      <c r="Z5" s="9" t="n">
        <v>53.57986397243147</v>
      </c>
      <c r="AA5" s="9" t="n">
        <v>2.368322722401029</v>
      </c>
      <c r="AB5" s="9" t="n">
        <v>55.51894569446453</v>
      </c>
      <c r="AC5" s="9" t="n">
        <v>-28.95672426596961</v>
      </c>
      <c r="AD5" s="9" t="n">
        <v>3404.316365740742</v>
      </c>
      <c r="AE5" s="9" t="n">
        <v>3404.316365740742</v>
      </c>
      <c r="AF5" s="9" t="n">
        <v>5194.46122685185</v>
      </c>
      <c r="AG5" s="9" t="n">
        <v>5194.46122685185</v>
      </c>
      <c r="AH5" s="8" t="inlineStr">
        <is>
          <t>Moderate (5.0-5.9)</t>
        </is>
      </c>
    </row>
    <row r="6">
      <c r="A6" s="8" t="inlineStr">
        <is>
          <t>1968-07-07 21:34:05.300</t>
        </is>
      </c>
      <c r="B6" s="8" t="n">
        <v>1968</v>
      </c>
      <c r="C6" s="9" t="n">
        <v>9.65</v>
      </c>
      <c r="D6" s="9" t="n">
        <v>126.39</v>
      </c>
      <c r="E6" s="8" t="n">
        <v>52</v>
      </c>
      <c r="F6" s="9" t="n">
        <v>5.2</v>
      </c>
      <c r="G6" s="9" t="n">
        <v>3</v>
      </c>
      <c r="H6" s="9" t="n">
        <v>5.2</v>
      </c>
      <c r="I6" s="9" t="n">
        <v>5.100000000000001</v>
      </c>
      <c r="J6" s="9" t="n">
        <v>2.385606273598294</v>
      </c>
      <c r="K6" s="9" t="n">
        <v>12.42597574547918</v>
      </c>
      <c r="L6" s="9" t="n">
        <v>0.7557266632048277</v>
      </c>
      <c r="M6" s="9" t="n">
        <v>0.0360667066065068</v>
      </c>
      <c r="N6" s="9" t="n">
        <v>2.895296546021672</v>
      </c>
      <c r="O6" s="9" t="n">
        <v>14.95360398482802</v>
      </c>
      <c r="P6" s="9" t="n">
        <v>1.113149032428996</v>
      </c>
      <c r="Q6" s="9" t="n">
        <v>0.1078416351329128</v>
      </c>
      <c r="R6" s="9" t="n">
        <v>-0.0087286502380967</v>
      </c>
      <c r="S6" s="9" t="n">
        <v>0.0352081566997828</v>
      </c>
      <c r="T6" s="9" t="n">
        <v>69313987774.50327</v>
      </c>
      <c r="U6" s="9" t="n">
        <v>6.969171937626504e-08</v>
      </c>
      <c r="V6" s="9" t="n">
        <v>2.061153622438658e-09</v>
      </c>
      <c r="W6" s="9" t="n">
        <v>-1.441153384245784</v>
      </c>
      <c r="X6" s="9" t="n">
        <v>3.817433980804671</v>
      </c>
      <c r="Y6" s="9" t="n">
        <v>47.5473586205228</v>
      </c>
      <c r="Z6" s="9" t="n">
        <v>51.45895097728371</v>
      </c>
      <c r="AA6" s="9" t="n">
        <v>5.557014934175973</v>
      </c>
      <c r="AB6" s="9" t="n">
        <v>52.52912026663897</v>
      </c>
      <c r="AC6" s="9" t="n">
        <v>10.39200320344143</v>
      </c>
      <c r="AD6" s="9" t="n">
        <v>323.2541296296295</v>
      </c>
      <c r="AE6" s="9" t="n">
        <v>4164.297480324076</v>
      </c>
      <c r="AF6" s="9" t="n">
        <v>5954.442341435184</v>
      </c>
      <c r="AG6" s="9" t="n">
        <v>5954.442341435184</v>
      </c>
      <c r="AH6" s="8" t="inlineStr">
        <is>
          <t>Moderate (5.0-5.9)</t>
        </is>
      </c>
    </row>
    <row r="7">
      <c r="A7" s="8" t="inlineStr">
        <is>
          <t>1968-08-06 23:44:34.000</t>
        </is>
      </c>
      <c r="B7" s="8" t="n">
        <v>1968</v>
      </c>
      <c r="C7" s="9" t="n">
        <v>15.65</v>
      </c>
      <c r="D7" s="9" t="n">
        <v>121.96</v>
      </c>
      <c r="E7" s="8" t="n">
        <v>30</v>
      </c>
      <c r="F7" s="9" t="n">
        <v>5.2</v>
      </c>
      <c r="G7" s="9" t="n">
        <v>14</v>
      </c>
      <c r="H7" s="9" t="n">
        <v>7.3</v>
      </c>
      <c r="I7" s="9" t="n">
        <v>5.15</v>
      </c>
      <c r="J7" s="9" t="n">
        <v>0.2655270846568731</v>
      </c>
      <c r="K7" s="9" t="n">
        <v>1.797894934062155</v>
      </c>
      <c r="L7" s="9" t="n">
        <v>0.030062386454542</v>
      </c>
      <c r="M7" s="9" t="n">
        <v>0.1074534522709719</v>
      </c>
      <c r="N7" s="9" t="n">
        <v>0.496336550746574</v>
      </c>
      <c r="O7" s="9" t="n">
        <v>3.13337640013549</v>
      </c>
      <c r="P7" s="9" t="n">
        <v>0.1050408713205896</v>
      </c>
      <c r="Q7" s="9" t="n">
        <v>0.223296336560108</v>
      </c>
      <c r="R7" s="9" t="n">
        <v>0.5289584078193705</v>
      </c>
      <c r="S7" s="9" t="n">
        <v>0.9869924340200962</v>
      </c>
      <c r="T7" s="9" t="n">
        <v>3722474573200.277</v>
      </c>
      <c r="U7" s="9" t="n">
        <v>0.1597418633366975</v>
      </c>
      <c r="V7" s="9" t="n">
        <v>0.0324332408947954</v>
      </c>
      <c r="W7" s="9" t="n">
        <v>-2.645751311064591</v>
      </c>
      <c r="X7" s="9" t="n">
        <v>18.7349939951952</v>
      </c>
      <c r="Y7" s="9" t="n">
        <v>3.63877204092631</v>
      </c>
      <c r="Z7" s="9" t="n">
        <v>25.00031419283234</v>
      </c>
      <c r="AA7" s="9" t="n">
        <v>18.66550228386849</v>
      </c>
      <c r="AB7" s="9" t="n">
        <v>3.783210064450808</v>
      </c>
      <c r="AC7" s="9" t="n">
        <v>5.226390156848944</v>
      </c>
      <c r="AD7" s="9" t="n">
        <v>5.142505787036498</v>
      </c>
      <c r="AE7" s="9" t="n">
        <v>5.142505787036498</v>
      </c>
      <c r="AF7" s="9" t="n">
        <v>5.142505787036498</v>
      </c>
      <c r="AG7" s="9" t="n">
        <v>43535.17270833333</v>
      </c>
      <c r="AH7" s="8" t="inlineStr">
        <is>
          <t>Moderate (5.0-5.9)</t>
        </is>
      </c>
    </row>
    <row r="8">
      <c r="A8" s="8" t="inlineStr">
        <is>
          <t>1968-08-10 16:41:31.500</t>
        </is>
      </c>
      <c r="B8" s="8" t="n">
        <v>1968</v>
      </c>
      <c r="C8" s="9" t="n">
        <v>15.41</v>
      </c>
      <c r="D8" s="9" t="n">
        <v>121.59</v>
      </c>
      <c r="E8" s="8" t="n">
        <v>86</v>
      </c>
      <c r="F8" s="9" t="n">
        <v>5.2</v>
      </c>
      <c r="G8" s="9" t="n">
        <v>11</v>
      </c>
      <c r="H8" s="9" t="n">
        <v>5.3</v>
      </c>
      <c r="I8" s="9" t="n">
        <v>4.972727272727273</v>
      </c>
      <c r="J8" s="9" t="n">
        <v>3.010299956639844</v>
      </c>
      <c r="K8" s="9" t="n">
        <v>15.95458977019117</v>
      </c>
      <c r="L8" s="9" t="n">
        <v>1.161846136102295</v>
      </c>
      <c r="M8" s="9" t="n">
        <v>5.264640824943862e-15</v>
      </c>
      <c r="N8" s="9" t="n">
        <v>3.474355855226039</v>
      </c>
      <c r="O8" s="9" t="n">
        <v>18.32127485298076</v>
      </c>
      <c r="P8" s="9" t="n">
        <v>1.547667525366093</v>
      </c>
      <c r="Q8" s="9" t="n">
        <v>0.5077939761129847</v>
      </c>
      <c r="R8" s="9" t="n">
        <v>0</v>
      </c>
      <c r="S8" s="9" t="n">
        <v>0.0267132048600142</v>
      </c>
      <c r="T8" s="9" t="n">
        <v>113705205742.6629</v>
      </c>
      <c r="U8" s="9" t="n">
        <v>9.313225746152728e-10</v>
      </c>
      <c r="V8" s="9" t="n">
        <v>3.775134544278459e-11</v>
      </c>
      <c r="W8" s="9" t="n">
        <v>-0.264135271897687</v>
      </c>
      <c r="X8" s="9" t="n">
        <v>15.84214511775142</v>
      </c>
      <c r="Y8" s="9" t="n">
        <v>9.927489453008569</v>
      </c>
      <c r="Z8" s="9" t="n">
        <v>32.29481005605543</v>
      </c>
      <c r="AA8" s="9" t="n">
        <v>17.01114158421008</v>
      </c>
      <c r="AB8" s="9" t="n">
        <v>34.17609792983929</v>
      </c>
      <c r="AC8" s="9" t="n">
        <v>-0.09728062766233379</v>
      </c>
      <c r="AD8" s="9" t="n">
        <v>2721.819751157407</v>
      </c>
      <c r="AE8" s="9" t="n">
        <v>43535.17270833333</v>
      </c>
      <c r="AF8" s="9" t="n">
        <v>43535.17270833333</v>
      </c>
      <c r="AG8" s="9" t="n">
        <v>43535.17270833333</v>
      </c>
      <c r="AH8" s="8" t="inlineStr">
        <is>
          <t>Moderate (5.0-5.9)</t>
        </is>
      </c>
    </row>
    <row r="9">
      <c r="A9" s="8" t="inlineStr">
        <is>
          <t>1968-08-13 00:14:58.500</t>
        </is>
      </c>
      <c r="B9" s="8" t="n">
        <v>1968</v>
      </c>
      <c r="C9" s="9" t="n">
        <v>15.62</v>
      </c>
      <c r="D9" s="9" t="n">
        <v>121.83</v>
      </c>
      <c r="E9" s="8" t="n">
        <v>42</v>
      </c>
      <c r="F9" s="9" t="n">
        <v>5</v>
      </c>
      <c r="G9" s="9" t="n">
        <v>15</v>
      </c>
      <c r="H9" s="9" t="n">
        <v>7.3</v>
      </c>
      <c r="I9" s="9" t="n">
        <v>5.126666666666666</v>
      </c>
      <c r="J9" s="9" t="n">
        <v>0.1708451939572683</v>
      </c>
      <c r="K9" s="9" t="n">
        <v>1.13233764763835</v>
      </c>
      <c r="L9" s="9" t="n">
        <v>0.0108538426889814</v>
      </c>
      <c r="M9" s="9" t="n">
        <v>0.170605452359811</v>
      </c>
      <c r="N9" s="9" t="n">
        <v>0.8985403073860382</v>
      </c>
      <c r="O9" s="9" t="n">
        <v>5.360706818052439</v>
      </c>
      <c r="P9" s="9" t="n">
        <v>0.3002293306588331</v>
      </c>
      <c r="Q9" s="9" t="n">
        <v>0.5499803591647996</v>
      </c>
      <c r="R9" s="9" t="n">
        <v>0.672142221796598</v>
      </c>
      <c r="S9" s="9" t="n">
        <v>1.333982923206439</v>
      </c>
      <c r="T9" s="9" t="n">
        <v>3717547524481.008</v>
      </c>
      <c r="U9" s="9" t="n">
        <v>0.3072305640070946</v>
      </c>
      <c r="V9" s="9" t="n">
        <v>0.002015482714507</v>
      </c>
      <c r="W9" s="9" t="n">
        <v>0.6166698388447787</v>
      </c>
      <c r="X9" s="9" t="n">
        <v>19.39256116585503</v>
      </c>
      <c r="Y9" s="9" t="n">
        <v>3.63877204092631</v>
      </c>
      <c r="Z9" s="9" t="n">
        <v>30.31175944857708</v>
      </c>
      <c r="AA9" s="9" t="n">
        <v>16.64347531392834</v>
      </c>
      <c r="AB9" s="9" t="n">
        <v>3.795383054230621</v>
      </c>
      <c r="AC9" s="9" t="n">
        <v>-0.0319015090904736</v>
      </c>
      <c r="AD9" s="9" t="n">
        <v>11.16362268518424</v>
      </c>
      <c r="AE9" s="9" t="n">
        <v>11.16362268518424</v>
      </c>
      <c r="AF9" s="9" t="n">
        <v>11.16362268518424</v>
      </c>
      <c r="AG9" s="9" t="n">
        <v>43535.17270833333</v>
      </c>
      <c r="AH9" s="8" t="inlineStr">
        <is>
          <t>Moderate (5.0-5.9)</t>
        </is>
      </c>
    </row>
    <row r="10">
      <c r="A10" s="8" t="inlineStr">
        <is>
          <t>1968-08-14 07:56:37.000</t>
        </is>
      </c>
      <c r="B10" s="8" t="n">
        <v>1968</v>
      </c>
      <c r="C10" s="9" t="n">
        <v>15.08</v>
      </c>
      <c r="D10" s="9" t="n">
        <v>122.51</v>
      </c>
      <c r="E10" s="8" t="n">
        <v>15</v>
      </c>
      <c r="F10" s="9" t="n">
        <v>5.5</v>
      </c>
      <c r="G10" s="9" t="n">
        <v>8</v>
      </c>
      <c r="H10" s="9" t="n">
        <v>5.3</v>
      </c>
      <c r="I10" s="9" t="n">
        <v>5.0125</v>
      </c>
      <c r="J10" s="9" t="n">
        <v>2.385606273598338</v>
      </c>
      <c r="K10" s="9" t="n">
        <v>12.66453637283924</v>
      </c>
      <c r="L10" s="9" t="n">
        <v>0.7991799892379231</v>
      </c>
      <c r="M10" s="9" t="n">
        <v>0.0360667066065073</v>
      </c>
      <c r="N10" s="9" t="n">
        <v>2.895296546021689</v>
      </c>
      <c r="O10" s="9" t="n">
        <v>15.24313363943028</v>
      </c>
      <c r="P10" s="9" t="n">
        <v>1.177153692029619</v>
      </c>
      <c r="Q10" s="9" t="n">
        <v>0.3712280888832378</v>
      </c>
      <c r="R10" s="9" t="n">
        <v>-0.0087286502380976</v>
      </c>
      <c r="S10" s="9" t="n">
        <v>0.0352081566997828</v>
      </c>
      <c r="T10" s="9" t="n">
        <v>103394359526.9695</v>
      </c>
      <c r="U10" s="9" t="n">
        <v>6.969171937624396e-08</v>
      </c>
      <c r="V10" s="9" t="n">
        <v>2.061153622438413e-09</v>
      </c>
      <c r="W10" s="9" t="n">
        <v>1.477097891751993</v>
      </c>
      <c r="X10" s="9" t="n">
        <v>14.16232426444998</v>
      </c>
      <c r="Y10" s="9" t="n">
        <v>35.575417838867</v>
      </c>
      <c r="Z10" s="9" t="n">
        <v>43.32106249562538</v>
      </c>
      <c r="AA10" s="9" t="n">
        <v>9.172257251730116</v>
      </c>
      <c r="AB10" s="9" t="n">
        <v>42.19054848628417</v>
      </c>
      <c r="AC10" s="9" t="n">
        <v>-1.17037759182262</v>
      </c>
      <c r="AD10" s="9" t="n">
        <v>43535.17270833333</v>
      </c>
      <c r="AE10" s="9" t="n">
        <v>43535.17270833333</v>
      </c>
      <c r="AF10" s="9" t="n">
        <v>43535.17270833333</v>
      </c>
      <c r="AG10" s="9" t="n">
        <v>43535.17270833333</v>
      </c>
      <c r="AH10" s="8" t="inlineStr">
        <is>
          <t>Moderate (5.0-5.9)</t>
        </is>
      </c>
    </row>
    <row r="11">
      <c r="A11" s="8" t="inlineStr">
        <is>
          <t>1968-08-28 02:15:18.000</t>
        </is>
      </c>
      <c r="B11" s="8" t="n">
        <v>1968</v>
      </c>
      <c r="C11" s="9" t="n">
        <v>15.57</v>
      </c>
      <c r="D11" s="9" t="n">
        <v>122.33</v>
      </c>
      <c r="E11" s="8" t="n">
        <v>15</v>
      </c>
      <c r="F11" s="9" t="n">
        <v>5</v>
      </c>
      <c r="G11" s="9" t="n">
        <v>3</v>
      </c>
      <c r="H11" s="9" t="n">
        <v>5.5</v>
      </c>
      <c r="I11" s="9" t="n">
        <v>5.166666666666667</v>
      </c>
      <c r="J11" s="9" t="n">
        <v>0.833733482553905</v>
      </c>
      <c r="K11" s="9" t="n">
        <v>4.489582858715681</v>
      </c>
      <c r="L11" s="9" t="n">
        <v>0.2819941396631976</v>
      </c>
      <c r="M11" s="9" t="n">
        <v>0.0893267033479697</v>
      </c>
      <c r="N11" s="9" t="n">
        <v>1.371456258641849</v>
      </c>
      <c r="O11" s="9" t="n">
        <v>7.197256922064723</v>
      </c>
      <c r="P11" s="9" t="n">
        <v>0.7630438887732095</v>
      </c>
      <c r="Q11" s="9" t="n">
        <v>0.1749489297310577</v>
      </c>
      <c r="R11" s="9" t="n">
        <v>0.1150862923687281</v>
      </c>
      <c r="S11" s="9" t="n">
        <v>0.2521061085884311</v>
      </c>
      <c r="T11" s="9" t="n">
        <v>100585968423.4667</v>
      </c>
      <c r="U11" s="9" t="n">
        <v>0.0031535487739365</v>
      </c>
      <c r="V11" s="9" t="n">
        <v>7.684776196487846e-05</v>
      </c>
      <c r="W11" s="9" t="n">
        <v>-0.6123724356957945</v>
      </c>
      <c r="X11" s="9" t="n">
        <v>2.1255371128042</v>
      </c>
      <c r="Y11" s="9" t="n">
        <v>32.7146778414924</v>
      </c>
      <c r="Z11" s="9" t="n">
        <v>47.631034827875</v>
      </c>
      <c r="AA11" s="9" t="n">
        <v>23.26107101202451</v>
      </c>
      <c r="AB11" s="9" t="n">
        <v>63.5625605493423</v>
      </c>
      <c r="AC11" s="9" t="n">
        <v>-4.610675179634621</v>
      </c>
      <c r="AD11" s="9" t="n">
        <v>26.24718171296263</v>
      </c>
      <c r="AE11" s="9" t="n">
        <v>26.24718171296263</v>
      </c>
      <c r="AF11" s="9" t="n">
        <v>26.24718171296263</v>
      </c>
      <c r="AG11" s="9" t="n">
        <v>43535.17270833333</v>
      </c>
      <c r="AH11" s="8" t="inlineStr">
        <is>
          <t>Moderate (5.0-5.9)</t>
        </is>
      </c>
    </row>
    <row r="12">
      <c r="A12" s="8" t="inlineStr">
        <is>
          <t>1968-08-28 20:42:20.200</t>
        </is>
      </c>
      <c r="B12" s="8" t="n">
        <v>1968</v>
      </c>
      <c r="C12" s="9" t="n">
        <v>15.55</v>
      </c>
      <c r="D12" s="9" t="n">
        <v>122.02</v>
      </c>
      <c r="E12" s="8" t="n">
        <v>42</v>
      </c>
      <c r="F12" s="9" t="n">
        <v>6.1</v>
      </c>
      <c r="G12" s="9" t="n">
        <v>3</v>
      </c>
      <c r="H12" s="9" t="n">
        <v>5.1</v>
      </c>
      <c r="I12" s="9" t="n">
        <v>5</v>
      </c>
      <c r="J12" s="9" t="n">
        <v>2.385606273598338</v>
      </c>
      <c r="K12" s="9" t="n">
        <v>12.18741511811958</v>
      </c>
      <c r="L12" s="9" t="n">
        <v>0.7557266632048526</v>
      </c>
      <c r="M12" s="9" t="n">
        <v>0.0360667066065068</v>
      </c>
      <c r="N12" s="9" t="n">
        <v>2.895296546021689</v>
      </c>
      <c r="O12" s="9" t="n">
        <v>14.66407433022594</v>
      </c>
      <c r="P12" s="9" t="n">
        <v>1.113149032429004</v>
      </c>
      <c r="Q12" s="9" t="n">
        <v>0.1078416351329146</v>
      </c>
      <c r="R12" s="9" t="n">
        <v>-0.0087286502380976</v>
      </c>
      <c r="S12" s="9" t="n">
        <v>0.0352081566997837</v>
      </c>
      <c r="T12" s="9" t="n">
        <v>56340524460.14158</v>
      </c>
      <c r="U12" s="9" t="n">
        <v>6.969171937624367e-08</v>
      </c>
      <c r="V12" s="9" t="n">
        <v>2.061153622438413e-09</v>
      </c>
      <c r="W12" s="9" t="n">
        <v>-2.121320343559642</v>
      </c>
      <c r="X12" s="9" t="n">
        <v>2.493476575328339</v>
      </c>
      <c r="Y12" s="9" t="n">
        <v>32.7146778414924</v>
      </c>
      <c r="Z12" s="9" t="n">
        <v>37.25243276576104</v>
      </c>
      <c r="AA12" s="9" t="n">
        <v>5.450231045685686</v>
      </c>
      <c r="AB12" s="9" t="n">
        <v>37.47782688646286</v>
      </c>
      <c r="AC12" s="9" t="n">
        <v>1.809092790906416</v>
      </c>
      <c r="AD12" s="9" t="n">
        <v>27.01595717592864</v>
      </c>
      <c r="AE12" s="9" t="n">
        <v>27.01595717592864</v>
      </c>
      <c r="AF12" s="9" t="n">
        <v>27.01595717592864</v>
      </c>
      <c r="AG12" s="9" t="n">
        <v>43535.17270833333</v>
      </c>
      <c r="AH12" s="8" t="inlineStr">
        <is>
          <t>Strong (6.0-6.9)</t>
        </is>
      </c>
    </row>
    <row r="13">
      <c r="A13" s="8" t="inlineStr">
        <is>
          <t>1968-08-29 01:36:22.500</t>
        </is>
      </c>
      <c r="B13" s="8" t="n">
        <v>1968</v>
      </c>
      <c r="C13" s="9" t="n">
        <v>15.51</v>
      </c>
      <c r="D13" s="9" t="n">
        <v>121.98</v>
      </c>
      <c r="E13" s="8" t="n">
        <v>39</v>
      </c>
      <c r="F13" s="9" t="n">
        <v>5.3</v>
      </c>
      <c r="G13" s="9" t="n">
        <v>4</v>
      </c>
      <c r="H13" s="9" t="n">
        <v>6.1</v>
      </c>
      <c r="I13" s="9" t="n">
        <v>5.275</v>
      </c>
      <c r="J13" s="9" t="n">
        <v>0.3957190222100004</v>
      </c>
      <c r="K13" s="9" t="n">
        <v>2.282624717671279</v>
      </c>
      <c r="L13" s="9" t="n">
        <v>0.1001308785610325</v>
      </c>
      <c r="M13" s="9" t="n">
        <v>0.144107186012906</v>
      </c>
      <c r="N13" s="9" t="n">
        <v>1.021869369184122</v>
      </c>
      <c r="O13" s="9" t="n">
        <v>5.609219900330162</v>
      </c>
      <c r="P13" s="9" t="n">
        <v>0.667705470841508</v>
      </c>
      <c r="Q13" s="9" t="n">
        <v>0.3084128899340387</v>
      </c>
      <c r="R13" s="9" t="n">
        <v>0.3317033310065795</v>
      </c>
      <c r="S13" s="9" t="n">
        <v>0.6108248965240461</v>
      </c>
      <c r="T13" s="9" t="n">
        <v>314123404569.9036</v>
      </c>
      <c r="U13" s="9" t="n">
        <v>0.0649894607419346</v>
      </c>
      <c r="V13" s="9" t="n">
        <v>0.0008597890156869</v>
      </c>
      <c r="W13" s="9" t="n">
        <v>-1.921537845661045</v>
      </c>
      <c r="X13" s="9" t="n">
        <v>3.629704977319406</v>
      </c>
      <c r="Y13" s="9" t="n">
        <v>32.7146778414924</v>
      </c>
      <c r="Z13" s="9" t="n">
        <v>42.08919898789428</v>
      </c>
      <c r="AA13" s="9" t="n">
        <v>10.64803153566487</v>
      </c>
      <c r="AB13" s="9" t="n">
        <v>55.35090380524423</v>
      </c>
      <c r="AC13" s="9" t="n">
        <v>3.01531653896405</v>
      </c>
      <c r="AD13" s="9" t="n">
        <v>0.2041932870342861</v>
      </c>
      <c r="AE13" s="9" t="n">
        <v>27.22015046296292</v>
      </c>
      <c r="AF13" s="9" t="n">
        <v>27.22015046296292</v>
      </c>
      <c r="AG13" s="9" t="n">
        <v>43535.17270833333</v>
      </c>
      <c r="AH13" s="8" t="inlineStr">
        <is>
          <t>Moderate (5.0-5.9)</t>
        </is>
      </c>
    </row>
    <row r="14">
      <c r="A14" s="8" t="inlineStr">
        <is>
          <t>1968-08-29 08:05:36.200</t>
        </is>
      </c>
      <c r="B14" s="8" t="n">
        <v>1968</v>
      </c>
      <c r="C14" s="9" t="n">
        <v>15.57</v>
      </c>
      <c r="D14" s="9" t="n">
        <v>122.01</v>
      </c>
      <c r="E14" s="8" t="n">
        <v>60</v>
      </c>
      <c r="F14" s="9" t="n">
        <v>5.1</v>
      </c>
      <c r="G14" s="9" t="n">
        <v>5</v>
      </c>
      <c r="H14" s="9" t="n">
        <v>6.1</v>
      </c>
      <c r="I14" s="9" t="n">
        <v>5.28</v>
      </c>
      <c r="J14" s="9" t="n">
        <v>0.4084378402951071</v>
      </c>
      <c r="K14" s="9" t="n">
        <v>2.38535929165693</v>
      </c>
      <c r="L14" s="9" t="n">
        <v>0.0826492217525702</v>
      </c>
      <c r="M14" s="9" t="n">
        <v>0.1093176750969969</v>
      </c>
      <c r="N14" s="9" t="n">
        <v>0.9650988486738944</v>
      </c>
      <c r="O14" s="9" t="n">
        <v>5.399125382956525</v>
      </c>
      <c r="P14" s="9" t="n">
        <v>0.4614561319130831</v>
      </c>
      <c r="Q14" s="9" t="n">
        <v>0.2198327395827149</v>
      </c>
      <c r="R14" s="9" t="n">
        <v>0.2597984899404872</v>
      </c>
      <c r="S14" s="9" t="n">
        <v>0.5056244700993506</v>
      </c>
      <c r="T14" s="9" t="n">
        <v>319594871365.4725</v>
      </c>
      <c r="U14" s="9" t="n">
        <v>0.0595232285132299</v>
      </c>
      <c r="V14" s="9" t="n">
        <v>0.0012726338013397</v>
      </c>
      <c r="W14" s="9" t="n">
        <v>-1.986798535597566</v>
      </c>
      <c r="X14" s="9" t="n">
        <v>4.470720159908056</v>
      </c>
      <c r="Y14" s="9" t="n">
        <v>32.7146778414924</v>
      </c>
      <c r="Z14" s="9" t="n">
        <v>45.11830014558146</v>
      </c>
      <c r="AA14" s="9" t="n">
        <v>11.44170882368077</v>
      </c>
      <c r="AB14" s="9" t="n">
        <v>55.45581515837486</v>
      </c>
      <c r="AC14" s="9" t="n">
        <v>3.35918296830601</v>
      </c>
      <c r="AD14" s="9" t="n">
        <v>0.4744907407402934</v>
      </c>
      <c r="AE14" s="9" t="n">
        <v>27.49044791666893</v>
      </c>
      <c r="AF14" s="9" t="n">
        <v>27.49044791666893</v>
      </c>
      <c r="AG14" s="9" t="n">
        <v>43535.17270833333</v>
      </c>
      <c r="AH14" s="8" t="inlineStr">
        <is>
          <t>Moderate (5.0-5.9)</t>
        </is>
      </c>
    </row>
    <row r="15">
      <c r="A15" s="8" t="inlineStr">
        <is>
          <t>1968-09-03 19:38:45.000</t>
        </is>
      </c>
      <c r="B15" s="8" t="n">
        <v>1968</v>
      </c>
      <c r="C15" s="9" t="n">
        <v>15.5</v>
      </c>
      <c r="D15" s="9" t="n">
        <v>122.2</v>
      </c>
      <c r="E15" s="8" t="n">
        <v>21</v>
      </c>
      <c r="F15" s="9" t="n">
        <v>5</v>
      </c>
      <c r="G15" s="9" t="n">
        <v>7</v>
      </c>
      <c r="H15" s="9" t="n">
        <v>6.1</v>
      </c>
      <c r="I15" s="9" t="n">
        <v>5.257142857142857</v>
      </c>
      <c r="J15" s="9" t="n">
        <v>0.318080836479774</v>
      </c>
      <c r="K15" s="9" t="n">
        <v>1.866074240681341</v>
      </c>
      <c r="L15" s="9" t="n">
        <v>0.0351290642788839</v>
      </c>
      <c r="M15" s="9" t="n">
        <v>0.1330627605445747</v>
      </c>
      <c r="N15" s="9" t="n">
        <v>1.371456258641849</v>
      </c>
      <c r="O15" s="9" t="n">
        <v>7.745839425521461</v>
      </c>
      <c r="P15" s="9" t="n">
        <v>0.6530636234431217</v>
      </c>
      <c r="Q15" s="9" t="n">
        <v>0.2905767690138781</v>
      </c>
      <c r="R15" s="9" t="n">
        <v>0.2333333333333325</v>
      </c>
      <c r="S15" s="9" t="n">
        <v>0.4521061085884321</v>
      </c>
      <c r="T15" s="9" t="n">
        <v>327294686110.3524</v>
      </c>
      <c r="U15" s="9" t="n">
        <v>0.1111111111111118</v>
      </c>
      <c r="V15" s="9" t="n">
        <v>7.684776196487846e-05</v>
      </c>
      <c r="W15" s="9" t="n">
        <v>-0.9332565252573828</v>
      </c>
      <c r="X15" s="9" t="n">
        <v>6.291019239910419</v>
      </c>
      <c r="Y15" s="9" t="n">
        <v>5.10118424225537</v>
      </c>
      <c r="Z15" s="9" t="n">
        <v>40.70691128386027</v>
      </c>
      <c r="AA15" s="9" t="n">
        <v>18.58444633458065</v>
      </c>
      <c r="AB15" s="9" t="n">
        <v>52.83694747123139</v>
      </c>
      <c r="AC15" s="9" t="n">
        <v>0.8932177958865147</v>
      </c>
      <c r="AD15" s="9" t="n">
        <v>5.955842592589761</v>
      </c>
      <c r="AE15" s="9" t="n">
        <v>32.97179976851839</v>
      </c>
      <c r="AF15" s="9" t="n">
        <v>32.97179976851839</v>
      </c>
      <c r="AG15" s="9" t="n">
        <v>43535.17270833333</v>
      </c>
      <c r="AH15" s="8" t="inlineStr">
        <is>
          <t>Moderate (5.0-5.9)</t>
        </is>
      </c>
    </row>
    <row r="16">
      <c r="A16" s="8" t="inlineStr">
        <is>
          <t>1969-01-30 17:19:36.400</t>
        </is>
      </c>
      <c r="B16" s="8" t="n">
        <v>1969</v>
      </c>
      <c r="C16" s="9" t="n">
        <v>4.86</v>
      </c>
      <c r="D16" s="9" t="n">
        <v>127.53</v>
      </c>
      <c r="E16" s="8" t="n">
        <v>82</v>
      </c>
      <c r="F16" s="9" t="n">
        <v>5.2</v>
      </c>
      <c r="G16" s="9" t="n">
        <v>3</v>
      </c>
      <c r="H16" s="9" t="n">
        <v>5.9</v>
      </c>
      <c r="I16" s="9" t="n">
        <v>5.400000000000001</v>
      </c>
      <c r="J16" s="9" t="n">
        <v>0.4905369300216469</v>
      </c>
      <c r="K16" s="9" t="n">
        <v>2.829105897847763</v>
      </c>
      <c r="L16" s="9" t="n">
        <v>0.1597646272632896</v>
      </c>
      <c r="M16" s="9" t="n">
        <v>0.0767025049246972</v>
      </c>
      <c r="N16" s="9" t="n">
        <v>0.7896263307331841</v>
      </c>
      <c r="O16" s="9" t="n">
        <v>4.346290275312265</v>
      </c>
      <c r="P16" s="9" t="n">
        <v>0.4139810451182221</v>
      </c>
      <c r="Q16" s="9" t="n">
        <v>0.1620671755187218</v>
      </c>
      <c r="R16" s="9" t="n">
        <v>0.1326342326093224</v>
      </c>
      <c r="S16" s="9" t="n">
        <v>0.3957632412325385</v>
      </c>
      <c r="T16" s="9" t="n">
        <v>218164402223.5047</v>
      </c>
      <c r="U16" s="9" t="n">
        <v>0.0337589717320294</v>
      </c>
      <c r="V16" s="9" t="n">
        <v>0.0042768203492089</v>
      </c>
      <c r="W16" s="9" t="n">
        <v>-1</v>
      </c>
      <c r="X16" s="9" t="n">
        <v>4.95782220511194</v>
      </c>
      <c r="Y16" s="9" t="n">
        <v>39.318473768789</v>
      </c>
      <c r="Z16" s="9" t="n">
        <v>51.60914951523313</v>
      </c>
      <c r="AA16" s="9" t="n">
        <v>12.29083604663259</v>
      </c>
      <c r="AB16" s="9" t="n">
        <v>50.12312722594909</v>
      </c>
      <c r="AC16" s="9" t="n">
        <v>60.49665651891296</v>
      </c>
      <c r="AD16" s="9" t="n">
        <v>4146.37397453704</v>
      </c>
      <c r="AE16" s="9" t="n">
        <v>4146.37397453704</v>
      </c>
      <c r="AF16" s="9" t="n">
        <v>4146.37397453704</v>
      </c>
      <c r="AG16" s="9" t="n">
        <v>4146.37397453704</v>
      </c>
      <c r="AH16" s="8" t="inlineStr">
        <is>
          <t>Moderate (5.0-5.9)</t>
        </is>
      </c>
    </row>
    <row r="17">
      <c r="A17" s="8" t="inlineStr">
        <is>
          <t>1969-01-31 08:56:43.000</t>
        </is>
      </c>
      <c r="B17" s="8" t="n">
        <v>1969</v>
      </c>
      <c r="C17" s="9" t="n">
        <v>4.28</v>
      </c>
      <c r="D17" s="9" t="n">
        <v>128.14</v>
      </c>
      <c r="E17" s="8" t="n">
        <v>33</v>
      </c>
      <c r="F17" s="9" t="n">
        <v>5.2</v>
      </c>
      <c r="G17" s="9" t="n">
        <v>5</v>
      </c>
      <c r="H17" s="9" t="n">
        <v>5.9</v>
      </c>
      <c r="I17" s="9" t="n">
        <v>5.42</v>
      </c>
      <c r="J17" s="9" t="n">
        <v>0.9595129533079578</v>
      </c>
      <c r="K17" s="9" t="n">
        <v>5.552597182110748</v>
      </c>
      <c r="L17" s="9" t="n">
        <v>0.2949377651029218</v>
      </c>
      <c r="M17" s="9" t="n">
        <v>0.1024865169997026</v>
      </c>
      <c r="N17" s="9" t="n">
        <v>1.240841376866432</v>
      </c>
      <c r="O17" s="9" t="n">
        <v>7.053580552111751</v>
      </c>
      <c r="P17" s="9" t="n">
        <v>0.4932433456385003</v>
      </c>
      <c r="Q17" s="9" t="n">
        <v>0.1279331782043208</v>
      </c>
      <c r="R17" s="9" t="n">
        <v>0.1131086787646218</v>
      </c>
      <c r="S17" s="9" t="n">
        <v>0.2154856989661615</v>
      </c>
      <c r="T17" s="9" t="n">
        <v>242245173735.1601</v>
      </c>
      <c r="U17" s="9" t="n">
        <v>0.0013226993498501</v>
      </c>
      <c r="V17" s="9" t="n">
        <v>0.0001894418252328</v>
      </c>
      <c r="W17" s="9" t="n">
        <v>-1</v>
      </c>
      <c r="X17" s="9" t="n">
        <v>8.078943075289343</v>
      </c>
      <c r="Y17" s="9" t="n">
        <v>39.318473768789</v>
      </c>
      <c r="Z17" s="9" t="n">
        <v>63.32411828243054</v>
      </c>
      <c r="AA17" s="9" t="n">
        <v>24.86760129283744</v>
      </c>
      <c r="AB17" s="9" t="n">
        <v>57.54603945417748</v>
      </c>
      <c r="AC17" s="9" t="n">
        <v>68.05344226243757</v>
      </c>
      <c r="AD17" s="9" t="n">
        <v>15811.02135416667</v>
      </c>
      <c r="AE17" s="9" t="n">
        <v>17713.24600694444</v>
      </c>
      <c r="AF17" s="9" t="n">
        <v>43535.17270833333</v>
      </c>
      <c r="AG17" s="9" t="n">
        <v>43535.17270833333</v>
      </c>
      <c r="AH17" s="8" t="inlineStr">
        <is>
          <t>Moderate (5.0-5.9)</t>
        </is>
      </c>
    </row>
    <row r="18">
      <c r="A18" s="8" t="inlineStr">
        <is>
          <t>1969-01-31 10:45:37.000</t>
        </is>
      </c>
      <c r="B18" s="8" t="n">
        <v>1969</v>
      </c>
      <c r="C18" s="9" t="n">
        <v>4.22</v>
      </c>
      <c r="D18" s="9" t="n">
        <v>128.02</v>
      </c>
      <c r="E18" s="8" t="n">
        <v>61</v>
      </c>
      <c r="F18" s="9" t="n">
        <v>5.1</v>
      </c>
      <c r="G18" s="9" t="n">
        <v>6</v>
      </c>
      <c r="H18" s="9" t="n">
        <v>5.9</v>
      </c>
      <c r="I18" s="9" t="n">
        <v>5.383333333333334</v>
      </c>
      <c r="J18" s="9" t="n">
        <v>0.9396275030257828</v>
      </c>
      <c r="K18" s="9" t="n">
        <v>5.438587267159611</v>
      </c>
      <c r="L18" s="9" t="n">
        <v>0.2426440160361685</v>
      </c>
      <c r="M18" s="9" t="n">
        <v>0.1121038647609294</v>
      </c>
      <c r="N18" s="9" t="n">
        <v>1.737177927613007</v>
      </c>
      <c r="O18" s="9" t="n">
        <v>9.857882063829903</v>
      </c>
      <c r="P18" s="9" t="n">
        <v>0.8293669987122031</v>
      </c>
      <c r="Q18" s="9" t="n">
        <v>0.2282639620256668</v>
      </c>
      <c r="R18" s="9" t="n">
        <v>0.1119752246009131</v>
      </c>
      <c r="S18" s="9" t="n">
        <v>0.2253469278329722</v>
      </c>
      <c r="T18" s="9" t="n">
        <v>246928313181.6723</v>
      </c>
      <c r="U18" s="9" t="n">
        <v>0.0015174608349343</v>
      </c>
      <c r="V18" s="9" t="n">
        <v>6.144212353328218e-06</v>
      </c>
      <c r="W18" s="9" t="n">
        <v>-1.216327281119075</v>
      </c>
      <c r="X18" s="9" t="n">
        <v>9.247754350163095</v>
      </c>
      <c r="Y18" s="9" t="n">
        <v>39.318473768789</v>
      </c>
      <c r="Z18" s="9" t="n">
        <v>66.02810430330389</v>
      </c>
      <c r="AA18" s="9" t="n">
        <v>23.20748408712361</v>
      </c>
      <c r="AB18" s="9" t="n">
        <v>58.71999412389629</v>
      </c>
      <c r="AC18" s="9" t="n">
        <v>51.85157996297093</v>
      </c>
      <c r="AD18" s="9" t="n">
        <v>7250.174675925928</v>
      </c>
      <c r="AE18" s="9" t="n">
        <v>7250.174675925928</v>
      </c>
      <c r="AF18" s="9" t="n">
        <v>7250.174675925928</v>
      </c>
      <c r="AG18" s="9" t="n">
        <v>11993.35841435185</v>
      </c>
      <c r="AH18" s="8" t="inlineStr">
        <is>
          <t>Moderate (5.0-5.9)</t>
        </is>
      </c>
    </row>
    <row r="19">
      <c r="A19" s="8" t="inlineStr">
        <is>
          <t>1969-01-31 13:48:23.000</t>
        </is>
      </c>
      <c r="B19" s="8" t="n">
        <v>1969</v>
      </c>
      <c r="C19" s="9" t="n">
        <v>4.39</v>
      </c>
      <c r="D19" s="9" t="n">
        <v>128.11</v>
      </c>
      <c r="E19" s="8" t="n">
        <v>31</v>
      </c>
      <c r="F19" s="9" t="n">
        <v>5.3</v>
      </c>
      <c r="G19" s="9" t="n">
        <v>7</v>
      </c>
      <c r="H19" s="9" t="n">
        <v>5.9</v>
      </c>
      <c r="I19" s="9" t="n">
        <v>5.342857142857143</v>
      </c>
      <c r="J19" s="9" t="n">
        <v>0.9595129533079578</v>
      </c>
      <c r="K19" s="9" t="n">
        <v>5.552597182110748</v>
      </c>
      <c r="L19" s="9" t="n">
        <v>0.2303803728732173</v>
      </c>
      <c r="M19" s="9" t="n">
        <v>0.1024865169997026</v>
      </c>
      <c r="N19" s="9" t="n">
        <v>1.240841376866432</v>
      </c>
      <c r="O19" s="9" t="n">
        <v>7.053580552111751</v>
      </c>
      <c r="P19" s="9" t="n">
        <v>0.3852798770811096</v>
      </c>
      <c r="Q19" s="9" t="n">
        <v>0.1282002133836895</v>
      </c>
      <c r="R19" s="9" t="n">
        <v>0.1131086787646218</v>
      </c>
      <c r="S19" s="9" t="n">
        <v>0.2154856989661615</v>
      </c>
      <c r="T19" s="9" t="n">
        <v>249974304877.8856</v>
      </c>
      <c r="U19" s="9" t="n">
        <v>0.0013226993498501</v>
      </c>
      <c r="V19" s="9" t="n">
        <v>0.0001894418252328</v>
      </c>
      <c r="W19" s="9" t="n">
        <v>-1.381698559415515</v>
      </c>
      <c r="X19" s="9" t="n">
        <v>10.32709664663429</v>
      </c>
      <c r="Y19" s="9" t="n">
        <v>39.318473768789</v>
      </c>
      <c r="Z19" s="9" t="n">
        <v>68.5036419358515</v>
      </c>
      <c r="AA19" s="9" t="n">
        <v>22.17477780503926</v>
      </c>
      <c r="AB19" s="9" t="n">
        <v>59.61674582997961</v>
      </c>
      <c r="AC19" s="9" t="n">
        <v>45.99843100120812</v>
      </c>
      <c r="AD19" s="9" t="n">
        <v>15811.22390046296</v>
      </c>
      <c r="AE19" s="9" t="n">
        <v>17713.44855324074</v>
      </c>
      <c r="AF19" s="9" t="n">
        <v>43535.17270833333</v>
      </c>
      <c r="AG19" s="9" t="n">
        <v>43535.17270833333</v>
      </c>
      <c r="AH19" s="8" t="inlineStr">
        <is>
          <t>Moderate (5.0-5.9)</t>
        </is>
      </c>
    </row>
    <row r="20">
      <c r="A20" s="8" t="inlineStr">
        <is>
          <t>1969-01-31 20:37:51.000</t>
        </is>
      </c>
      <c r="B20" s="8" t="n">
        <v>1969</v>
      </c>
      <c r="C20" s="9" t="n">
        <v>4.21</v>
      </c>
      <c r="D20" s="9" t="n">
        <v>127.83</v>
      </c>
      <c r="E20" s="8" t="n">
        <v>37</v>
      </c>
      <c r="F20" s="9" t="n">
        <v>5.3</v>
      </c>
      <c r="G20" s="9" t="n">
        <v>8</v>
      </c>
      <c r="H20" s="9" t="n">
        <v>5.9</v>
      </c>
      <c r="I20" s="9" t="n">
        <v>5.3375</v>
      </c>
      <c r="J20" s="9" t="n">
        <v>1.09337588538828</v>
      </c>
      <c r="K20" s="9" t="n">
        <v>6.320077992704594</v>
      </c>
      <c r="L20" s="9" t="n">
        <v>0.2594861959067611</v>
      </c>
      <c r="M20" s="9" t="n">
        <v>0.1109562322434112</v>
      </c>
      <c r="N20" s="9" t="n">
        <v>1.579252661466368</v>
      </c>
      <c r="O20" s="9" t="n">
        <v>8.972099097099713</v>
      </c>
      <c r="P20" s="9" t="n">
        <v>0.5413504620635051</v>
      </c>
      <c r="Q20" s="9" t="n">
        <v>0.1503992952006064</v>
      </c>
      <c r="R20" s="9" t="n">
        <v>0.1196658284079434</v>
      </c>
      <c r="S20" s="9" t="n">
        <v>0.2187690506920301</v>
      </c>
      <c r="T20" s="9" t="n">
        <v>256816124111.6052</v>
      </c>
      <c r="U20" s="9" t="n">
        <v>0.0005246532214436</v>
      </c>
      <c r="V20" s="9" t="n">
        <v>1.829119229940784e-05</v>
      </c>
      <c r="W20" s="9" t="n">
        <v>-1.485562705416415</v>
      </c>
      <c r="X20" s="9" t="n">
        <v>11.33287844139639</v>
      </c>
      <c r="Y20" s="9" t="n">
        <v>39.318473768789</v>
      </c>
      <c r="Z20" s="9" t="n">
        <v>68.30272345251333</v>
      </c>
      <c r="AA20" s="9" t="n">
        <v>20.53771876845902</v>
      </c>
      <c r="AB20" s="9" t="n">
        <v>60.10962798831637</v>
      </c>
      <c r="AC20" s="9" t="n">
        <v>33.94361153222086</v>
      </c>
      <c r="AD20" s="9" t="n">
        <v>7250.585949074075</v>
      </c>
      <c r="AE20" s="9" t="n">
        <v>7250.585949074075</v>
      </c>
      <c r="AF20" s="9" t="n">
        <v>7250.585949074075</v>
      </c>
      <c r="AG20" s="9" t="n">
        <v>11993.7696875</v>
      </c>
      <c r="AH20" s="8" t="inlineStr">
        <is>
          <t>Moderate (5.0-5.9)</t>
        </is>
      </c>
    </row>
    <row r="21">
      <c r="A21" s="8" t="inlineStr">
        <is>
          <t>1969-02-01 07:24:32.000</t>
        </is>
      </c>
      <c r="B21" s="8" t="n">
        <v>1969</v>
      </c>
      <c r="C21" s="9" t="n">
        <v>4.18</v>
      </c>
      <c r="D21" s="9" t="n">
        <v>128.13</v>
      </c>
      <c r="E21" s="8" t="n">
        <v>15</v>
      </c>
      <c r="F21" s="9" t="n">
        <v>5</v>
      </c>
      <c r="G21" s="9" t="n">
        <v>10</v>
      </c>
      <c r="H21" s="9" t="n">
        <v>5.9</v>
      </c>
      <c r="I21" s="9" t="n">
        <v>5.24</v>
      </c>
      <c r="J21" s="9" t="n">
        <v>1.197208042182627</v>
      </c>
      <c r="K21" s="9" t="n">
        <v>6.915382358325516</v>
      </c>
      <c r="L21" s="9" t="n">
        <v>0.3447016653179899</v>
      </c>
      <c r="M21" s="9" t="n">
        <v>0.1250324347315776</v>
      </c>
      <c r="N21" s="9" t="n">
        <v>1.888236877840222</v>
      </c>
      <c r="O21" s="9" t="n">
        <v>10.70662545688919</v>
      </c>
      <c r="P21" s="9" t="n">
        <v>0.8574663406720814</v>
      </c>
      <c r="Q21" s="9" t="n">
        <v>0.3937745482020599</v>
      </c>
      <c r="R21" s="9" t="n">
        <v>0.1237421444997144</v>
      </c>
      <c r="S21" s="9" t="n">
        <v>0.2298292801401569</v>
      </c>
      <c r="T21" s="9" t="n">
        <v>260921672257.7591</v>
      </c>
      <c r="U21" s="9" t="n">
        <v>0.0002560801251913</v>
      </c>
      <c r="V21" s="9" t="n">
        <v>2.164160003658068e-06</v>
      </c>
      <c r="W21" s="9" t="n">
        <v>-1.507556722888818</v>
      </c>
      <c r="X21" s="9" t="n">
        <v>13.16863436292312</v>
      </c>
      <c r="Y21" s="9" t="n">
        <v>39.318473768789</v>
      </c>
      <c r="Z21" s="9" t="n">
        <v>82.82250576214298</v>
      </c>
      <c r="AA21" s="9" t="n">
        <v>26.25135281893783</v>
      </c>
      <c r="AB21" s="9" t="n">
        <v>63.85689472294622</v>
      </c>
      <c r="AC21" s="9" t="n">
        <v>36.26455139332063</v>
      </c>
      <c r="AD21" s="9" t="n">
        <v>15811.95733796297</v>
      </c>
      <c r="AE21" s="9" t="n">
        <v>17714.18199074074</v>
      </c>
      <c r="AF21" s="9" t="n">
        <v>43535.17270833333</v>
      </c>
      <c r="AG21" s="9" t="n">
        <v>43535.17270833333</v>
      </c>
      <c r="AH21" s="8" t="inlineStr">
        <is>
          <t>Moderate (5.0-5.9)</t>
        </is>
      </c>
    </row>
    <row r="22">
      <c r="A22" s="8" t="inlineStr">
        <is>
          <t>1969-02-01 16:19:14.100</t>
        </is>
      </c>
      <c r="B22" s="8" t="n">
        <v>1969</v>
      </c>
      <c r="C22" s="9" t="n">
        <v>3.9</v>
      </c>
      <c r="D22" s="9" t="n">
        <v>128.1</v>
      </c>
      <c r="E22" s="8" t="n">
        <v>33</v>
      </c>
      <c r="F22" s="9" t="n">
        <v>5.2</v>
      </c>
      <c r="G22" s="9" t="n">
        <v>10</v>
      </c>
      <c r="H22" s="9" t="n">
        <v>5.5</v>
      </c>
      <c r="I22" s="9" t="n">
        <v>5.15</v>
      </c>
      <c r="J22" s="9" t="n">
        <v>3.010299956639784</v>
      </c>
      <c r="K22" s="9" t="n">
        <v>16.55664976151881</v>
      </c>
      <c r="L22" s="9" t="n">
        <v>1.591863327065328</v>
      </c>
      <c r="M22" s="9" t="n">
        <v>5.529562713008304e-15</v>
      </c>
      <c r="N22" s="9" t="n">
        <v>3.474355855226015</v>
      </c>
      <c r="O22" s="9" t="n">
        <v>19.01614602402584</v>
      </c>
      <c r="P22" s="9" t="n">
        <v>2.120483168610701</v>
      </c>
      <c r="Q22" s="9" t="n">
        <v>0.9128790340446612</v>
      </c>
      <c r="R22" s="9" t="n">
        <v>0</v>
      </c>
      <c r="S22" s="9" t="n">
        <v>0.0267132048600133</v>
      </c>
      <c r="T22" s="9" t="n">
        <v>165508853862.1169</v>
      </c>
      <c r="U22" s="9" t="n">
        <v>9.313225746156611e-10</v>
      </c>
      <c r="V22" s="9" t="n">
        <v>3.775134544279108e-11</v>
      </c>
      <c r="W22" s="9" t="n">
        <v>-1.758631145281648</v>
      </c>
      <c r="X22" s="9" t="n">
        <v>12.21827206118656</v>
      </c>
      <c r="Y22" s="9" t="n">
        <v>39.318473768789</v>
      </c>
      <c r="Z22" s="9" t="n">
        <v>86.6565392450283</v>
      </c>
      <c r="AA22" s="9" t="n">
        <v>23.87862649148966</v>
      </c>
      <c r="AB22" s="9" t="n">
        <v>77.42982873084232</v>
      </c>
      <c r="AC22" s="9" t="n">
        <v>31.12986395372426</v>
      </c>
      <c r="AD22" s="9" t="n">
        <v>7251.406355324072</v>
      </c>
      <c r="AE22" s="9" t="n">
        <v>7251.406355324072</v>
      </c>
      <c r="AF22" s="9" t="n">
        <v>7251.406355324072</v>
      </c>
      <c r="AG22" s="9" t="n">
        <v>43535.17270833333</v>
      </c>
      <c r="AH22" s="8" t="inlineStr">
        <is>
          <t>Moderate (5.0-5.9)</t>
        </is>
      </c>
    </row>
    <row r="23">
      <c r="A23" s="8" t="inlineStr">
        <is>
          <t>1969-02-02 00:17:37.000</t>
        </is>
      </c>
      <c r="B23" s="8" t="n">
        <v>1969</v>
      </c>
      <c r="C23" s="9" t="n">
        <v>3.91</v>
      </c>
      <c r="D23" s="9" t="n">
        <v>128.13</v>
      </c>
      <c r="E23" s="8" t="n">
        <v>105</v>
      </c>
      <c r="F23" s="9" t="n">
        <v>5</v>
      </c>
      <c r="G23" s="9" t="n">
        <v>12</v>
      </c>
      <c r="H23" s="9" t="n">
        <v>5.5</v>
      </c>
      <c r="I23" s="9" t="n">
        <v>5.125</v>
      </c>
      <c r="J23" s="9" t="n">
        <v>3.010299956639784</v>
      </c>
      <c r="K23" s="9" t="n">
        <v>16.55664976151881</v>
      </c>
      <c r="L23" s="9" t="n">
        <v>1.454109062455028</v>
      </c>
      <c r="M23" s="9" t="n">
        <v>5.529562713008304e-15</v>
      </c>
      <c r="N23" s="9" t="n">
        <v>3.474355855226015</v>
      </c>
      <c r="O23" s="9" t="n">
        <v>19.01614602402584</v>
      </c>
      <c r="P23" s="9" t="n">
        <v>1.936983998459582</v>
      </c>
      <c r="Q23" s="9" t="n">
        <v>0.8604950674094305</v>
      </c>
      <c r="R23" s="9" t="n">
        <v>0</v>
      </c>
      <c r="S23" s="9" t="n">
        <v>0.0267132048600133</v>
      </c>
      <c r="T23" s="9" t="n">
        <v>173552770625.4193</v>
      </c>
      <c r="U23" s="9" t="n">
        <v>9.313225746156611e-10</v>
      </c>
      <c r="V23" s="9" t="n">
        <v>3.775134544279108e-11</v>
      </c>
      <c r="W23" s="9" t="n">
        <v>-1.726067885347383</v>
      </c>
      <c r="X23" s="9" t="n">
        <v>13.87988474920453</v>
      </c>
      <c r="Y23" s="9" t="n">
        <v>39.318473768789</v>
      </c>
      <c r="Z23" s="9" t="n">
        <v>92.05589587512441</v>
      </c>
      <c r="AA23" s="9" t="n">
        <v>25.01249393327945</v>
      </c>
      <c r="AB23" s="9" t="n">
        <v>81.6929347690003</v>
      </c>
      <c r="AC23" s="9" t="n">
        <v>30.25885149106798</v>
      </c>
      <c r="AD23" s="9" t="n">
        <v>7251.738564814817</v>
      </c>
      <c r="AE23" s="9" t="n">
        <v>7251.738564814817</v>
      </c>
      <c r="AF23" s="9" t="n">
        <v>7251.738564814817</v>
      </c>
      <c r="AG23" s="9" t="n">
        <v>43535.17270833333</v>
      </c>
      <c r="AH23" s="8" t="inlineStr">
        <is>
          <t>Moderate (5.0-5.9)</t>
        </is>
      </c>
    </row>
    <row r="24">
      <c r="A24" s="8" t="inlineStr">
        <is>
          <t>1969-02-02 01:38:47.000</t>
        </is>
      </c>
      <c r="B24" s="8" t="n">
        <v>1969</v>
      </c>
      <c r="C24" s="9" t="n">
        <v>3.89</v>
      </c>
      <c r="D24" s="9" t="n">
        <v>128.34</v>
      </c>
      <c r="E24" s="8" t="n">
        <v>48</v>
      </c>
      <c r="F24" s="9" t="n">
        <v>5.4</v>
      </c>
      <c r="G24" s="9" t="n">
        <v>12</v>
      </c>
      <c r="H24" s="9" t="n">
        <v>5.5</v>
      </c>
      <c r="I24" s="9" t="n">
        <v>5.091666666666667</v>
      </c>
      <c r="J24" s="9" t="n">
        <v>2.574031267727737</v>
      </c>
      <c r="K24" s="9" t="n">
        <v>14.06509009710732</v>
      </c>
      <c r="L24" s="9" t="n">
        <v>1.000663907077131</v>
      </c>
      <c r="M24" s="9" t="n">
        <v>0.1141990191113243</v>
      </c>
      <c r="N24" s="9" t="n">
        <v>2.895296546021689</v>
      </c>
      <c r="O24" s="9" t="n">
        <v>15.7545120436488</v>
      </c>
      <c r="P24" s="9" t="n">
        <v>1.266037890798932</v>
      </c>
      <c r="Q24" s="9" t="n">
        <v>0.5361945368335884</v>
      </c>
      <c r="R24" s="9" t="n">
        <v>0.0357734098065254</v>
      </c>
      <c r="S24" s="9" t="n">
        <v>0.0585843131348857</v>
      </c>
      <c r="T24" s="9" t="n">
        <v>160849275998.5628</v>
      </c>
      <c r="U24" s="9" t="n">
        <v>1.896296296296056e-08</v>
      </c>
      <c r="V24" s="9" t="n">
        <v>2.061153622438413e-09</v>
      </c>
      <c r="W24" s="9" t="n">
        <v>-1.726067885347383</v>
      </c>
      <c r="X24" s="9" t="n">
        <v>13.87988474920453</v>
      </c>
      <c r="Y24" s="9" t="n">
        <v>66.89629406914609</v>
      </c>
      <c r="Z24" s="9" t="n">
        <v>98.71533235121215</v>
      </c>
      <c r="AA24" s="9" t="n">
        <v>19.78747426049137</v>
      </c>
      <c r="AB24" s="9" t="n">
        <v>91.22330274468337</v>
      </c>
      <c r="AC24" s="9" t="n">
        <v>23.07342615747092</v>
      </c>
      <c r="AD24" s="9" t="n">
        <v>15812.7172337963</v>
      </c>
      <c r="AE24" s="9" t="n">
        <v>43535.17270833333</v>
      </c>
      <c r="AF24" s="9" t="n">
        <v>43535.17270833333</v>
      </c>
      <c r="AG24" s="9" t="n">
        <v>43535.17270833333</v>
      </c>
      <c r="AH24" s="8" t="inlineStr">
        <is>
          <t>Moderate (5.0-5.9)</t>
        </is>
      </c>
    </row>
    <row r="25">
      <c r="A25" s="8" t="inlineStr">
        <is>
          <t>1969-02-02 02:07:03.000</t>
        </is>
      </c>
      <c r="B25" s="8" t="n">
        <v>1969</v>
      </c>
      <c r="C25" s="9" t="n">
        <v>3.94</v>
      </c>
      <c r="D25" s="9" t="n">
        <v>128.31</v>
      </c>
      <c r="E25" s="8" t="n">
        <v>76</v>
      </c>
      <c r="F25" s="9" t="n">
        <v>5.1</v>
      </c>
      <c r="G25" s="9" t="n">
        <v>13</v>
      </c>
      <c r="H25" s="9" t="n">
        <v>5.5</v>
      </c>
      <c r="I25" s="9" t="n">
        <v>5.115384615384615</v>
      </c>
      <c r="J25" s="9" t="n">
        <v>2.635483746814933</v>
      </c>
      <c r="K25" s="9" t="n">
        <v>14.52014835480379</v>
      </c>
      <c r="L25" s="9" t="n">
        <v>1.036677041162383</v>
      </c>
      <c r="M25" s="9" t="n">
        <v>0.039509097566608</v>
      </c>
      <c r="N25" s="9" t="n">
        <v>2.60576689141952</v>
      </c>
      <c r="O25" s="9" t="n">
        <v>14.32813908576515</v>
      </c>
      <c r="P25" s="9" t="n">
        <v>1.013430380546013</v>
      </c>
      <c r="Q25" s="9" t="n">
        <v>0.4835620053719542</v>
      </c>
      <c r="R25" s="9" t="n">
        <v>-0.009481275440177401</v>
      </c>
      <c r="S25" s="9" t="n">
        <v>0.0013734217953249</v>
      </c>
      <c r="T25" s="9" t="n">
        <v>176410215667.2325</v>
      </c>
      <c r="U25" s="9" t="n">
        <v>1.240362876593836e-08</v>
      </c>
      <c r="V25" s="9" t="n">
        <v>1.522997974471169e-08</v>
      </c>
      <c r="W25" s="9" t="n">
        <v>-1.68769505739087</v>
      </c>
      <c r="X25" s="9" t="n">
        <v>14.65840395922982</v>
      </c>
      <c r="Y25" s="9" t="n">
        <v>66.89629406914609</v>
      </c>
      <c r="Z25" s="9" t="n">
        <v>100.9483024168519</v>
      </c>
      <c r="AA25" s="9" t="n">
        <v>20.58483613143511</v>
      </c>
      <c r="AB25" s="9" t="n">
        <v>96.89803990086546</v>
      </c>
      <c r="AC25" s="9" t="n">
        <v>23.71590218844682</v>
      </c>
      <c r="AD25" s="9" t="n">
        <v>15812.73686342593</v>
      </c>
      <c r="AE25" s="9" t="n">
        <v>43535.17270833333</v>
      </c>
      <c r="AF25" s="9" t="n">
        <v>43535.17270833333</v>
      </c>
      <c r="AG25" s="9" t="n">
        <v>43535.17270833333</v>
      </c>
      <c r="AH25" s="8" t="inlineStr">
        <is>
          <t>Moderate (5.0-5.9)</t>
        </is>
      </c>
    </row>
    <row r="26">
      <c r="A26" s="8" t="inlineStr">
        <is>
          <t>1969-02-02 02:34:16.000</t>
        </is>
      </c>
      <c r="B26" s="8" t="n">
        <v>1969</v>
      </c>
      <c r="C26" s="9" t="n">
        <v>3.9</v>
      </c>
      <c r="D26" s="9" t="n">
        <v>128.3</v>
      </c>
      <c r="E26" s="8" t="n">
        <v>90</v>
      </c>
      <c r="F26" s="9" t="n">
        <v>5.2</v>
      </c>
      <c r="G26" s="9" t="n">
        <v>14</v>
      </c>
      <c r="H26" s="9" t="n">
        <v>5.5</v>
      </c>
      <c r="I26" s="9" t="n">
        <v>5.114285714285714</v>
      </c>
      <c r="J26" s="9" t="n">
        <v>3.010299956639784</v>
      </c>
      <c r="K26" s="9" t="n">
        <v>16.55664976151881</v>
      </c>
      <c r="L26" s="9" t="n">
        <v>1.252395742442494</v>
      </c>
      <c r="M26" s="9" t="n">
        <v>5.529562713008304e-15</v>
      </c>
      <c r="N26" s="9" t="n">
        <v>3.474355855226015</v>
      </c>
      <c r="O26" s="9" t="n">
        <v>19.01614602402584</v>
      </c>
      <c r="P26" s="9" t="n">
        <v>1.66828649616854</v>
      </c>
      <c r="Q26" s="9" t="n">
        <v>0.8084432471406671</v>
      </c>
      <c r="R26" s="9" t="n">
        <v>0</v>
      </c>
      <c r="S26" s="9" t="n">
        <v>0.0267132048600133</v>
      </c>
      <c r="T26" s="9" t="n">
        <v>180649177801.0509</v>
      </c>
      <c r="U26" s="9" t="n">
        <v>9.313225746156611e-10</v>
      </c>
      <c r="V26" s="9" t="n">
        <v>3.775134544279108e-11</v>
      </c>
      <c r="W26" s="9" t="n">
        <v>-1.646109783506203</v>
      </c>
      <c r="X26" s="9" t="n">
        <v>15.40687492231292</v>
      </c>
      <c r="Y26" s="9" t="n">
        <v>66.89629406914609</v>
      </c>
      <c r="Z26" s="9" t="n">
        <v>102.4071765215495</v>
      </c>
      <c r="AA26" s="9" t="n">
        <v>20.51674518272525</v>
      </c>
      <c r="AB26" s="9" t="n">
        <v>98.1768740055365</v>
      </c>
      <c r="AC26" s="9" t="n">
        <v>23.12793080823186</v>
      </c>
      <c r="AD26" s="9" t="n">
        <v>7251.833460648149</v>
      </c>
      <c r="AE26" s="9" t="n">
        <v>7251.833460648149</v>
      </c>
      <c r="AF26" s="9" t="n">
        <v>7251.833460648149</v>
      </c>
      <c r="AG26" s="9" t="n">
        <v>43535.17270833333</v>
      </c>
      <c r="AH26" s="8" t="inlineStr">
        <is>
          <t>Moderate (5.0-5.9)</t>
        </is>
      </c>
    </row>
    <row r="27">
      <c r="A27" s="8" t="inlineStr">
        <is>
          <t>1969-02-02 05:21:26.500</t>
        </is>
      </c>
      <c r="B27" s="8" t="n">
        <v>1969</v>
      </c>
      <c r="C27" s="9" t="n">
        <v>3.85</v>
      </c>
      <c r="D27" s="9" t="n">
        <v>128.36</v>
      </c>
      <c r="E27" s="8" t="n">
        <v>33</v>
      </c>
      <c r="F27" s="9" t="n">
        <v>5.6</v>
      </c>
      <c r="G27" s="9" t="n">
        <v>16</v>
      </c>
      <c r="H27" s="9" t="n">
        <v>5.5</v>
      </c>
      <c r="I27" s="9" t="n">
        <v>5.0875</v>
      </c>
      <c r="J27" s="9" t="n">
        <v>3.010299956639784</v>
      </c>
      <c r="K27" s="9" t="n">
        <v>16.55664976151881</v>
      </c>
      <c r="L27" s="9" t="n">
        <v>1.288679133221554</v>
      </c>
      <c r="M27" s="9" t="n">
        <v>5.529562713008304e-15</v>
      </c>
      <c r="N27" s="9" t="n">
        <v>3.474355855226015</v>
      </c>
      <c r="O27" s="9" t="n">
        <v>19.01614602402584</v>
      </c>
      <c r="P27" s="9" t="n">
        <v>1.716618735588215</v>
      </c>
      <c r="Q27" s="9" t="n">
        <v>1.139969900331906</v>
      </c>
      <c r="R27" s="9" t="n">
        <v>0</v>
      </c>
      <c r="S27" s="9" t="n">
        <v>0.0267132048600133</v>
      </c>
      <c r="T27" s="9" t="n">
        <v>187391406325.7969</v>
      </c>
      <c r="U27" s="9" t="n">
        <v>9.313225746156611e-10</v>
      </c>
      <c r="V27" s="9" t="n">
        <v>3.775134544279108e-11</v>
      </c>
      <c r="W27" s="9" t="n">
        <v>-1.728677774557487</v>
      </c>
      <c r="X27" s="9" t="n">
        <v>16.82492957127176</v>
      </c>
      <c r="Y27" s="9" t="n">
        <v>66.89629406914609</v>
      </c>
      <c r="Z27" s="9" t="n">
        <v>106.2514179916303</v>
      </c>
      <c r="AA27" s="9" t="n">
        <v>21.99207172110716</v>
      </c>
      <c r="AB27" s="9" t="n">
        <v>100.3855232081811</v>
      </c>
      <c r="AC27" s="9" t="n">
        <v>24.65739152003346</v>
      </c>
      <c r="AD27" s="9" t="n">
        <v>15812.87185763889</v>
      </c>
      <c r="AE27" s="9" t="n">
        <v>43535.17270833333</v>
      </c>
      <c r="AF27" s="9" t="n">
        <v>43535.17270833333</v>
      </c>
      <c r="AG27" s="9" t="n">
        <v>43535.17270833333</v>
      </c>
      <c r="AH27" s="8" t="inlineStr">
        <is>
          <t>Moderate (5.0-5.9)</t>
        </is>
      </c>
    </row>
    <row r="28">
      <c r="A28" s="8" t="inlineStr">
        <is>
          <t>1969-02-02 16:21:21.500</t>
        </is>
      </c>
      <c r="B28" s="8" t="n">
        <v>1969</v>
      </c>
      <c r="C28" s="9" t="n">
        <v>3.66</v>
      </c>
      <c r="D28" s="9" t="n">
        <v>128.44</v>
      </c>
      <c r="E28" s="8" t="n">
        <v>87</v>
      </c>
      <c r="F28" s="9" t="n">
        <v>5.2</v>
      </c>
      <c r="G28" s="9" t="n">
        <v>17</v>
      </c>
      <c r="H28" s="9" t="n">
        <v>5.6</v>
      </c>
      <c r="I28" s="9" t="n">
        <v>5.117647058823529</v>
      </c>
      <c r="J28" s="9" t="n">
        <v>2.273001272063739</v>
      </c>
      <c r="K28" s="9" t="n">
        <v>12.75713724642729</v>
      </c>
      <c r="L28" s="9" t="n">
        <v>0.7775903745126448</v>
      </c>
      <c r="M28" s="9" t="n">
        <v>0.0317504725943818</v>
      </c>
      <c r="N28" s="9" t="n">
        <v>2.554673422960306</v>
      </c>
      <c r="O28" s="9" t="n">
        <v>14.23873914602564</v>
      </c>
      <c r="P28" s="9" t="n">
        <v>0.9822505898615854</v>
      </c>
      <c r="Q28" s="9" t="n">
        <v>0.7426089113741366</v>
      </c>
      <c r="R28" s="9" t="n">
        <v>-0.0124637514367202</v>
      </c>
      <c r="S28" s="9" t="n">
        <v>0.0263955548862027</v>
      </c>
      <c r="T28" s="9" t="n">
        <v>217113296485.8071</v>
      </c>
      <c r="U28" s="9" t="n">
        <v>1.517037037037025e-07</v>
      </c>
      <c r="V28" s="9" t="n">
        <v>2.167602938645758e-08</v>
      </c>
      <c r="W28" s="9" t="n">
        <v>-2.071733382441088</v>
      </c>
      <c r="X28" s="9" t="n">
        <v>17.93503428810369</v>
      </c>
      <c r="Y28" s="9" t="n">
        <v>66.89629406914609</v>
      </c>
      <c r="Z28" s="9" t="n">
        <v>107.8065283084831</v>
      </c>
      <c r="AA28" s="9" t="n">
        <v>22.23814909302422</v>
      </c>
      <c r="AB28" s="9" t="n">
        <v>107.2788299464005</v>
      </c>
      <c r="AC28" s="9" t="n">
        <v>24.90476173647352</v>
      </c>
      <c r="AD28" s="9" t="n">
        <v>15813.33013310185</v>
      </c>
      <c r="AE28" s="9" t="n">
        <v>43535.17270833333</v>
      </c>
      <c r="AF28" s="9" t="n">
        <v>43535.17270833333</v>
      </c>
      <c r="AG28" s="9" t="n">
        <v>43535.17270833333</v>
      </c>
      <c r="AH28" s="8" t="inlineStr">
        <is>
          <t>Moderate (5.0-5.9)</t>
        </is>
      </c>
    </row>
    <row r="29">
      <c r="A29" s="8" t="inlineStr">
        <is>
          <t>1969-02-02 16:48:48.000</t>
        </is>
      </c>
      <c r="B29" s="8" t="n">
        <v>1969</v>
      </c>
      <c r="C29" s="9" t="n">
        <v>3.6</v>
      </c>
      <c r="D29" s="9" t="n">
        <v>128.4</v>
      </c>
      <c r="E29" s="8" t="n">
        <v>63</v>
      </c>
      <c r="F29" s="9" t="n">
        <v>5.1</v>
      </c>
      <c r="G29" s="9" t="n">
        <v>18</v>
      </c>
      <c r="H29" s="9" t="n">
        <v>5.6</v>
      </c>
      <c r="I29" s="9" t="n">
        <v>5.122222222222223</v>
      </c>
      <c r="J29" s="9" t="n">
        <v>2.385606273598368</v>
      </c>
      <c r="K29" s="9" t="n">
        <v>13.38021825491891</v>
      </c>
      <c r="L29" s="9" t="n">
        <v>0.8097737789687055</v>
      </c>
      <c r="M29" s="9" t="n">
        <v>0.0360667066065063</v>
      </c>
      <c r="N29" s="9" t="n">
        <v>2.895296546021689</v>
      </c>
      <c r="O29" s="9" t="n">
        <v>16.11172260323678</v>
      </c>
      <c r="P29" s="9" t="n">
        <v>1.19275783485362</v>
      </c>
      <c r="Q29" s="9" t="n">
        <v>0.9173511669675239</v>
      </c>
      <c r="R29" s="9" t="n">
        <v>-0.0087286502380976</v>
      </c>
      <c r="S29" s="9" t="n">
        <v>0.0352081566997837</v>
      </c>
      <c r="T29" s="9" t="n">
        <v>222326451785.8854</v>
      </c>
      <c r="U29" s="9" t="n">
        <v>6.969171937622943e-08</v>
      </c>
      <c r="V29" s="9" t="n">
        <v>2.061153622438413e-09</v>
      </c>
      <c r="W29" s="9" t="n">
        <v>-2.025158221666843</v>
      </c>
      <c r="X29" s="9" t="n">
        <v>18.58486996613808</v>
      </c>
      <c r="Y29" s="9" t="n">
        <v>66.89629406914609</v>
      </c>
      <c r="Z29" s="9" t="n">
        <v>110.4607487800367</v>
      </c>
      <c r="AA29" s="9" t="n">
        <v>24.33624700716189</v>
      </c>
      <c r="AB29" s="9" t="n">
        <v>109.7363156646111</v>
      </c>
      <c r="AC29" s="9" t="n">
        <v>26.47532317745563</v>
      </c>
      <c r="AD29" s="9" t="n">
        <v>15813.34918981482</v>
      </c>
      <c r="AE29" s="9" t="n">
        <v>43535.17270833333</v>
      </c>
      <c r="AF29" s="9" t="n">
        <v>43535.17270833333</v>
      </c>
      <c r="AG29" s="9" t="n">
        <v>43535.17270833333</v>
      </c>
      <c r="AH29" s="8" t="inlineStr">
        <is>
          <t>Moderate (5.0-5.9)</t>
        </is>
      </c>
    </row>
    <row r="30">
      <c r="A30" s="8" t="inlineStr">
        <is>
          <t>1969-02-02 20:50:24.000</t>
        </is>
      </c>
      <c r="B30" s="8" t="n">
        <v>1969</v>
      </c>
      <c r="C30" s="9" t="n">
        <v>4.3</v>
      </c>
      <c r="D30" s="9" t="n">
        <v>128.1</v>
      </c>
      <c r="E30" s="8" t="n">
        <v>62</v>
      </c>
      <c r="F30" s="9" t="n">
        <v>5.1</v>
      </c>
      <c r="G30" s="9" t="n">
        <v>22</v>
      </c>
      <c r="H30" s="9" t="n">
        <v>5.9</v>
      </c>
      <c r="I30" s="9" t="n">
        <v>5.172727272727272</v>
      </c>
      <c r="J30" s="9" t="n">
        <v>1.493498223286581</v>
      </c>
      <c r="K30" s="9" t="n">
        <v>8.684451837355791</v>
      </c>
      <c r="L30" s="9" t="n">
        <v>0.320546294001051</v>
      </c>
      <c r="M30" s="9" t="n">
        <v>0.1027920085227926</v>
      </c>
      <c r="N30" s="9" t="n">
        <v>2.068068961444057</v>
      </c>
      <c r="O30" s="9" t="n">
        <v>11.86654239613392</v>
      </c>
      <c r="P30" s="9" t="n">
        <v>0.6146266295001839</v>
      </c>
      <c r="Q30" s="9" t="n">
        <v>0.5362602297833676</v>
      </c>
      <c r="R30" s="9" t="n">
        <v>0.0851609182066175</v>
      </c>
      <c r="S30" s="9" t="n">
        <v>0.1620180383888394</v>
      </c>
      <c r="T30" s="9" t="n">
        <v>316494064738.0879</v>
      </c>
      <c r="U30" s="9" t="n">
        <v>3.307541714138611e-05</v>
      </c>
      <c r="V30" s="9" t="n">
        <v>6.248749509463084e-07</v>
      </c>
      <c r="W30" s="9" t="n">
        <v>-2.529125495289846</v>
      </c>
      <c r="X30" s="9" t="n">
        <v>21.44690187883484</v>
      </c>
      <c r="Y30" s="9" t="n">
        <v>39.318473768789</v>
      </c>
      <c r="Z30" s="9" t="n">
        <v>103.8601375302174</v>
      </c>
      <c r="AA30" s="9" t="n">
        <v>34.05273418496518</v>
      </c>
      <c r="AB30" s="9" t="n">
        <v>85.98668778158593</v>
      </c>
      <c r="AC30" s="9" t="n">
        <v>31.09641657758662</v>
      </c>
      <c r="AD30" s="9" t="n">
        <v>15813.51696759259</v>
      </c>
      <c r="AE30" s="9" t="n">
        <v>17715.74162037037</v>
      </c>
      <c r="AF30" s="9" t="n">
        <v>43535.17270833333</v>
      </c>
      <c r="AG30" s="9" t="n">
        <v>43535.17270833333</v>
      </c>
      <c r="AH30" s="8" t="inlineStr">
        <is>
          <t>Moderate (5.0-5.9)</t>
        </is>
      </c>
    </row>
    <row r="31">
      <c r="A31" s="8" t="inlineStr">
        <is>
          <t>1969-02-03 17:11:58.000</t>
        </is>
      </c>
      <c r="B31" s="8" t="n">
        <v>1969</v>
      </c>
      <c r="C31" s="9" t="n">
        <v>4.2</v>
      </c>
      <c r="D31" s="9" t="n">
        <v>128.25</v>
      </c>
      <c r="E31" s="8" t="n">
        <v>92</v>
      </c>
      <c r="F31" s="9" t="n">
        <v>5.1</v>
      </c>
      <c r="G31" s="9" t="n">
        <v>21</v>
      </c>
      <c r="H31" s="9" t="n">
        <v>5.6</v>
      </c>
      <c r="I31" s="9" t="n">
        <v>5.133333333333333</v>
      </c>
      <c r="J31" s="9" t="n">
        <v>2.635483746814914</v>
      </c>
      <c r="K31" s="9" t="n">
        <v>14.78369672948517</v>
      </c>
      <c r="L31" s="9" t="n">
        <v>0.8703602515685893</v>
      </c>
      <c r="M31" s="9" t="n">
        <v>0.0395090975666095</v>
      </c>
      <c r="N31" s="9" t="n">
        <v>2.605766891419506</v>
      </c>
      <c r="O31" s="9" t="n">
        <v>14.58871577490703</v>
      </c>
      <c r="P31" s="9" t="n">
        <v>0.8508431130781838</v>
      </c>
      <c r="Q31" s="9" t="n">
        <v>0.750260328698198</v>
      </c>
      <c r="R31" s="9" t="n">
        <v>-0.0094812754401747</v>
      </c>
      <c r="S31" s="9" t="n">
        <v>0.0013734217953231</v>
      </c>
      <c r="T31" s="9" t="n">
        <v>240217085701.8118</v>
      </c>
      <c r="U31" s="9" t="n">
        <v>1.240362876593999e-08</v>
      </c>
      <c r="V31" s="9" t="n">
        <v>1.522997974471313e-08</v>
      </c>
      <c r="W31" s="9" t="n">
        <v>-2.430277761902948</v>
      </c>
      <c r="X31" s="9" t="n">
        <v>20.87020668478218</v>
      </c>
      <c r="Y31" s="9" t="n">
        <v>39.318473768789</v>
      </c>
      <c r="Z31" s="9" t="n">
        <v>107.8157917876906</v>
      </c>
      <c r="AA31" s="9" t="n">
        <v>30.52800422020638</v>
      </c>
      <c r="AB31" s="9" t="n">
        <v>104.1684329874196</v>
      </c>
      <c r="AC31" s="9" t="n">
        <v>24.07778454017468</v>
      </c>
      <c r="AD31" s="9" t="n">
        <v>15814.36527777778</v>
      </c>
      <c r="AE31" s="9" t="n">
        <v>17716.58993055556</v>
      </c>
      <c r="AF31" s="9" t="n">
        <v>43535.17270833333</v>
      </c>
      <c r="AG31" s="9" t="n">
        <v>43535.17270833333</v>
      </c>
      <c r="AH31" s="8" t="inlineStr">
        <is>
          <t>Moderate (5.0-5.9)</t>
        </is>
      </c>
    </row>
    <row r="32">
      <c r="A32" s="8" t="inlineStr">
        <is>
          <t>1969-02-03 19:01:30.100</t>
        </is>
      </c>
      <c r="B32" s="8" t="n">
        <v>1969</v>
      </c>
      <c r="C32" s="9" t="n">
        <v>4.38</v>
      </c>
      <c r="D32" s="9" t="n">
        <v>128.14</v>
      </c>
      <c r="E32" s="8" t="n">
        <v>33</v>
      </c>
      <c r="F32" s="9" t="n">
        <v>5.3</v>
      </c>
      <c r="G32" s="9" t="n">
        <v>24</v>
      </c>
      <c r="H32" s="9" t="n">
        <v>5.9</v>
      </c>
      <c r="I32" s="9" t="n">
        <v>5.166666666666667</v>
      </c>
      <c r="J32" s="9" t="n">
        <v>1.575126922655162</v>
      </c>
      <c r="K32" s="9" t="n">
        <v>9.152456380402324</v>
      </c>
      <c r="L32" s="9" t="n">
        <v>0.3270605999140809</v>
      </c>
      <c r="M32" s="9" t="n">
        <v>0.0965578403592308</v>
      </c>
      <c r="N32" s="9" t="n">
        <v>1.842461438377425</v>
      </c>
      <c r="O32" s="9" t="n">
        <v>10.61014366341461</v>
      </c>
      <c r="P32" s="9" t="n">
        <v>0.4475009213825873</v>
      </c>
      <c r="Q32" s="9" t="n">
        <v>0.3914492785611776</v>
      </c>
      <c r="R32" s="9" t="n">
        <v>0.0893848370173273</v>
      </c>
      <c r="S32" s="9" t="n">
        <v>0.1413211791512463</v>
      </c>
      <c r="T32" s="9" t="n">
        <v>321240743853.1257</v>
      </c>
      <c r="U32" s="9" t="n">
        <v>1.881998322703916e-05</v>
      </c>
      <c r="V32" s="9" t="n">
        <v>2.969037513284705e-06</v>
      </c>
      <c r="W32" s="9" t="n">
        <v>-2.976833630141003</v>
      </c>
      <c r="X32" s="9" t="n">
        <v>22.5592719564809</v>
      </c>
      <c r="Y32" s="9" t="n">
        <v>39.318473768789</v>
      </c>
      <c r="Z32" s="9" t="n">
        <v>102.2165039994157</v>
      </c>
      <c r="AA32" s="9" t="n">
        <v>33.0940372552881</v>
      </c>
      <c r="AB32" s="9" t="n">
        <v>85.91391059790784</v>
      </c>
      <c r="AC32" s="9" t="n">
        <v>20.32704977282954</v>
      </c>
      <c r="AD32" s="9" t="n">
        <v>15814.44134375</v>
      </c>
      <c r="AE32" s="9" t="n">
        <v>17716.66599652778</v>
      </c>
      <c r="AF32" s="9" t="n">
        <v>43535.17270833333</v>
      </c>
      <c r="AG32" s="9" t="n">
        <v>43535.17270833333</v>
      </c>
      <c r="AH32" s="8" t="inlineStr">
        <is>
          <t>Moderate (5.0-5.9)</t>
        </is>
      </c>
    </row>
    <row r="33">
      <c r="A33" s="8" t="inlineStr">
        <is>
          <t>1969-02-03 21:41:43.400</t>
        </is>
      </c>
      <c r="B33" s="8" t="n">
        <v>1969</v>
      </c>
      <c r="C33" s="9" t="n">
        <v>4.81</v>
      </c>
      <c r="D33" s="9" t="n">
        <v>127.54</v>
      </c>
      <c r="E33" s="8" t="n">
        <v>46</v>
      </c>
      <c r="F33" s="9" t="n">
        <v>6.1</v>
      </c>
      <c r="G33" s="9" t="n">
        <v>13</v>
      </c>
      <c r="H33" s="9" t="n">
        <v>5.9</v>
      </c>
      <c r="I33" s="9" t="n">
        <v>5.253846153846154</v>
      </c>
      <c r="J33" s="9" t="n">
        <v>1.282045091519368</v>
      </c>
      <c r="K33" s="9" t="n">
        <v>7.401781441189499</v>
      </c>
      <c r="L33" s="9" t="n">
        <v>0.2659912299265935</v>
      </c>
      <c r="M33" s="9" t="n">
        <v>0.1399719960660218</v>
      </c>
      <c r="N33" s="9" t="n">
        <v>2.171472409516257</v>
      </c>
      <c r="O33" s="9" t="n">
        <v>12.2869550208198</v>
      </c>
      <c r="P33" s="9" t="n">
        <v>0.7630787302347661</v>
      </c>
      <c r="Q33" s="9" t="n">
        <v>0.2911150188746502</v>
      </c>
      <c r="R33" s="9" t="n">
        <v>0.1265825982629413</v>
      </c>
      <c r="S33" s="9" t="n">
        <v>0.2416481061543889</v>
      </c>
      <c r="T33" s="9" t="n">
        <v>275796144478.4934</v>
      </c>
      <c r="U33" s="9" t="n">
        <v>0.0001425163612814</v>
      </c>
      <c r="V33" s="9" t="n">
        <v>3.059023205018304e-07</v>
      </c>
      <c r="W33" s="9" t="n">
        <v>-2.166666666666667</v>
      </c>
      <c r="X33" s="9" t="n">
        <v>15.1071516904496</v>
      </c>
      <c r="Y33" s="9" t="n">
        <v>39.318473768789</v>
      </c>
      <c r="Z33" s="9" t="n">
        <v>71.55138294513239</v>
      </c>
      <c r="AA33" s="9" t="n">
        <v>17.40362049501378</v>
      </c>
      <c r="AB33" s="9" t="n">
        <v>63.07844668004924</v>
      </c>
      <c r="AC33" s="9" t="n">
        <v>4.160824262993818</v>
      </c>
      <c r="AD33" s="9" t="n">
        <v>4150.556</v>
      </c>
      <c r="AE33" s="9" t="n">
        <v>4150.556</v>
      </c>
      <c r="AF33" s="9" t="n">
        <v>4150.556</v>
      </c>
      <c r="AG33" s="9" t="n">
        <v>4150.556</v>
      </c>
      <c r="AH33" s="8" t="inlineStr">
        <is>
          <t>Strong (6.0-6.9)</t>
        </is>
      </c>
    </row>
    <row r="34">
      <c r="A34" s="8" t="inlineStr">
        <is>
          <t>1969-02-05 10:36:29.000</t>
        </is>
      </c>
      <c r="B34" s="8" t="n">
        <v>1969</v>
      </c>
      <c r="C34" s="9" t="n">
        <v>3.54</v>
      </c>
      <c r="D34" s="9" t="n">
        <v>128.61</v>
      </c>
      <c r="E34" s="8" t="n">
        <v>58</v>
      </c>
      <c r="F34" s="9" t="n">
        <v>5</v>
      </c>
      <c r="G34" s="9" t="n">
        <v>17</v>
      </c>
      <c r="H34" s="9" t="n">
        <v>5.6</v>
      </c>
      <c r="I34" s="9" t="n">
        <v>5.1</v>
      </c>
      <c r="J34" s="9" t="n">
        <v>1.607455023214668</v>
      </c>
      <c r="K34" s="9" t="n">
        <v>9.074448002795764</v>
      </c>
      <c r="L34" s="9" t="n">
        <v>0.3779352382167508</v>
      </c>
      <c r="M34" s="9" t="n">
        <v>0.08715043239518069</v>
      </c>
      <c r="N34" s="9" t="n">
        <v>1.737177927613007</v>
      </c>
      <c r="O34" s="9" t="n">
        <v>9.6841642710686</v>
      </c>
      <c r="P34" s="9" t="n">
        <v>0.4413959376346844</v>
      </c>
      <c r="Q34" s="9" t="n">
        <v>0.2872407804406084</v>
      </c>
      <c r="R34" s="9" t="n">
        <v>-0.0452266917230668</v>
      </c>
      <c r="S34" s="9" t="n">
        <v>0.0253469278329721</v>
      </c>
      <c r="T34" s="9" t="n">
        <v>209780541049.6582</v>
      </c>
      <c r="U34" s="9" t="n">
        <v>1.505341138527143e-05</v>
      </c>
      <c r="V34" s="9" t="n">
        <v>6.144212353328218e-06</v>
      </c>
      <c r="W34" s="9" t="n">
        <v>-2.327820869396956</v>
      </c>
      <c r="X34" s="9" t="n">
        <v>17.93503428810369</v>
      </c>
      <c r="Y34" s="9" t="n">
        <v>79.5480344076707</v>
      </c>
      <c r="Z34" s="9" t="n">
        <v>117.9834009384191</v>
      </c>
      <c r="AA34" s="9" t="n">
        <v>23.22696566056974</v>
      </c>
      <c r="AB34" s="9" t="n">
        <v>117.5968951392536</v>
      </c>
      <c r="AC34" s="9" t="n">
        <v>13.89088512446829</v>
      </c>
      <c r="AD34" s="9" t="n">
        <v>15816.09063657407</v>
      </c>
      <c r="AE34" s="9" t="n">
        <v>43535.17270833333</v>
      </c>
      <c r="AF34" s="9" t="n">
        <v>43535.17270833333</v>
      </c>
      <c r="AG34" s="9" t="n">
        <v>43535.17270833333</v>
      </c>
      <c r="AH34" s="8" t="inlineStr">
        <is>
          <t>Moderate (5.0-5.9)</t>
        </is>
      </c>
    </row>
    <row r="35">
      <c r="A35" s="8" t="inlineStr">
        <is>
          <t>1969-02-09 04:12:08.400</t>
        </is>
      </c>
      <c r="B35" s="8" t="n">
        <v>1969</v>
      </c>
      <c r="C35" s="9" t="n">
        <v>4.45</v>
      </c>
      <c r="D35" s="9" t="n">
        <v>128.28</v>
      </c>
      <c r="E35" s="8" t="n">
        <v>64</v>
      </c>
      <c r="F35" s="9" t="n">
        <v>5</v>
      </c>
      <c r="G35" s="9" t="n">
        <v>26</v>
      </c>
      <c r="H35" s="9" t="n">
        <v>6.1</v>
      </c>
      <c r="I35" s="9" t="n">
        <v>5.207692307692308</v>
      </c>
      <c r="J35" s="9" t="n">
        <v>1.154929173215314</v>
      </c>
      <c r="K35" s="9" t="n">
        <v>6.995836842089795</v>
      </c>
      <c r="L35" s="9" t="n">
        <v>0.1961991184719028</v>
      </c>
      <c r="M35" s="9" t="n">
        <v>0.07463788249686699</v>
      </c>
      <c r="N35" s="9" t="n">
        <v>1.532804053776179</v>
      </c>
      <c r="O35" s="9" t="n">
        <v>9.078103994453071</v>
      </c>
      <c r="P35" s="9" t="n">
        <v>0.3455887759981844</v>
      </c>
      <c r="Q35" s="9" t="n">
        <v>0.3092560055970776</v>
      </c>
      <c r="R35" s="9" t="n">
        <v>0.0426269555444349</v>
      </c>
      <c r="S35" s="9" t="n">
        <v>0.1774530364214026</v>
      </c>
      <c r="T35" s="9" t="n">
        <v>449624557400.9266</v>
      </c>
      <c r="U35" s="9" t="n">
        <v>0.0003429355281207</v>
      </c>
      <c r="V35" s="9" t="n">
        <v>2.521087033094951e-05</v>
      </c>
      <c r="W35" s="9" t="n">
        <v>0.9520212239630654</v>
      </c>
      <c r="X35" s="9" t="n">
        <v>23.62267547006752</v>
      </c>
      <c r="Y35" s="9" t="n">
        <v>39.318473768789</v>
      </c>
      <c r="Z35" s="9" t="n">
        <v>98.81757328327208</v>
      </c>
      <c r="AA35" s="9" t="n">
        <v>34.07936707804205</v>
      </c>
      <c r="AB35" s="9" t="n">
        <v>70.96760578485559</v>
      </c>
      <c r="AC35" s="9" t="n">
        <v>10.00504319958152</v>
      </c>
      <c r="AD35" s="9" t="n">
        <v>5.271122685186128</v>
      </c>
      <c r="AE35" s="9" t="n">
        <v>17722.04838425926</v>
      </c>
      <c r="AF35" s="9" t="n">
        <v>43535.17270833333</v>
      </c>
      <c r="AG35" s="9" t="n">
        <v>43535.17270833333</v>
      </c>
      <c r="AH35" s="8" t="inlineStr">
        <is>
          <t>Moderate (5.0-5.9)</t>
        </is>
      </c>
    </row>
    <row r="36">
      <c r="A36" s="8" t="inlineStr">
        <is>
          <t>1969-02-09 14:27:16.000</t>
        </is>
      </c>
      <c r="B36" s="8" t="n">
        <v>1969</v>
      </c>
      <c r="C36" s="9" t="n">
        <v>5.54</v>
      </c>
      <c r="D36" s="9" t="n">
        <v>127.31</v>
      </c>
      <c r="E36" s="8" t="n">
        <v>108</v>
      </c>
      <c r="F36" s="9" t="n">
        <v>5</v>
      </c>
      <c r="G36" s="9" t="n">
        <v>4</v>
      </c>
      <c r="H36" s="9" t="n">
        <v>6.1</v>
      </c>
      <c r="I36" s="9" t="n">
        <v>5.525</v>
      </c>
      <c r="J36" s="9" t="n">
        <v>0.3972859909316392</v>
      </c>
      <c r="K36" s="9" t="n">
        <v>2.503583236672847</v>
      </c>
      <c r="L36" s="9" t="n">
        <v>0.1030787640032167</v>
      </c>
      <c r="M36" s="9" t="n">
        <v>0.07834085427295311</v>
      </c>
      <c r="N36" s="9" t="n">
        <v>0.6433992324492621</v>
      </c>
      <c r="O36" s="9" t="n">
        <v>3.754716230329347</v>
      </c>
      <c r="P36" s="9" t="n">
        <v>0.2703483832792379</v>
      </c>
      <c r="Q36" s="9" t="n">
        <v>0.1634121013714207</v>
      </c>
      <c r="R36" s="9" t="n">
        <v>-0.201715373355908</v>
      </c>
      <c r="S36" s="9" t="n">
        <v>0.2642513062440725</v>
      </c>
      <c r="T36" s="9" t="n">
        <v>374349780352.4833</v>
      </c>
      <c r="U36" s="9" t="n">
        <v>0.0642897929675588</v>
      </c>
      <c r="V36" s="9" t="n">
        <v>0.0117436284570213</v>
      </c>
      <c r="W36" s="9" t="n">
        <v>0.8660254037844386</v>
      </c>
      <c r="X36" s="9" t="n">
        <v>5.617321208040141</v>
      </c>
      <c r="Y36" s="9" t="n">
        <v>45.401248110036</v>
      </c>
      <c r="Z36" s="9" t="n">
        <v>51.992679659452</v>
      </c>
      <c r="AA36" s="9" t="n">
        <v>8.36079144150157</v>
      </c>
      <c r="AB36" s="9" t="n">
        <v>48.64360003116063</v>
      </c>
      <c r="AC36" s="9" t="n">
        <v>-1.507516905676032</v>
      </c>
      <c r="AD36" s="9" t="n">
        <v>5.698293981480674</v>
      </c>
      <c r="AE36" s="9" t="n">
        <v>4156.254293981481</v>
      </c>
      <c r="AF36" s="9" t="n">
        <v>4156.254293981481</v>
      </c>
      <c r="AG36" s="9" t="n">
        <v>4156.254293981481</v>
      </c>
      <c r="AH36" s="8" t="inlineStr">
        <is>
          <t>Moderate (5.0-5.9)</t>
        </is>
      </c>
    </row>
    <row r="37">
      <c r="A37" s="8" t="inlineStr">
        <is>
          <t>1969-02-10 14:09:19.000</t>
        </is>
      </c>
      <c r="B37" s="8" t="n">
        <v>1969</v>
      </c>
      <c r="C37" s="9" t="n">
        <v>3.81</v>
      </c>
      <c r="D37" s="9" t="n">
        <v>128.51</v>
      </c>
      <c r="E37" s="8" t="n">
        <v>88</v>
      </c>
      <c r="F37" s="9" t="n">
        <v>5</v>
      </c>
      <c r="G37" s="9" t="n">
        <v>24</v>
      </c>
      <c r="H37" s="9" t="n">
        <v>5.6</v>
      </c>
      <c r="I37" s="9" t="n">
        <v>5.116666666666667</v>
      </c>
      <c r="J37" s="9" t="n">
        <v>2.510545010206615</v>
      </c>
      <c r="K37" s="9" t="n">
        <v>14.07154593081787</v>
      </c>
      <c r="L37" s="9" t="n">
        <v>0.6852271399713479</v>
      </c>
      <c r="M37" s="9" t="n">
        <v>0.032259043078676</v>
      </c>
      <c r="N37" s="9" t="n">
        <v>2.895296546021689</v>
      </c>
      <c r="O37" s="9" t="n">
        <v>16.12322294429859</v>
      </c>
      <c r="P37" s="9" t="n">
        <v>0.9113488215109682</v>
      </c>
      <c r="Q37" s="9" t="n">
        <v>0.8324372095637421</v>
      </c>
      <c r="R37" s="9" t="n">
        <v>-0.0049765583210152</v>
      </c>
      <c r="S37" s="9" t="n">
        <v>0.0312360796157928</v>
      </c>
      <c r="T37" s="9" t="n">
        <v>243797258831.0528</v>
      </c>
      <c r="U37" s="9" t="n">
        <v>2.940119411185762e-08</v>
      </c>
      <c r="V37" s="9" t="n">
        <v>2.061153622438413e-09</v>
      </c>
      <c r="W37" s="9" t="n">
        <v>1.903323805723546</v>
      </c>
      <c r="X37" s="9" t="n">
        <v>22.5592719564809</v>
      </c>
      <c r="Y37" s="9" t="n">
        <v>66.89629406914609</v>
      </c>
      <c r="Z37" s="9" t="n">
        <v>109.5962864158473</v>
      </c>
      <c r="AA37" s="9" t="n">
        <v>30.70846359014692</v>
      </c>
      <c r="AB37" s="9" t="n">
        <v>107.8567231619464</v>
      </c>
      <c r="AC37" s="9" t="n">
        <v>1.457803339367796</v>
      </c>
      <c r="AD37" s="9" t="n">
        <v>15821.2384375</v>
      </c>
      <c r="AE37" s="9" t="n">
        <v>43535.17270833333</v>
      </c>
      <c r="AF37" s="9" t="n">
        <v>43535.17270833333</v>
      </c>
      <c r="AG37" s="9" t="n">
        <v>43535.17270833333</v>
      </c>
      <c r="AH37" s="8" t="inlineStr">
        <is>
          <t>Moderate (5.0-5.9)</t>
        </is>
      </c>
    </row>
    <row r="38">
      <c r="A38" s="8" t="inlineStr">
        <is>
          <t>1969-02-14 04:53:27.700</t>
        </is>
      </c>
      <c r="B38" s="8" t="n">
        <v>1969</v>
      </c>
      <c r="C38" s="9" t="n">
        <v>4.59</v>
      </c>
      <c r="D38" s="9" t="n">
        <v>127.44</v>
      </c>
      <c r="E38" s="8" t="n">
        <v>94</v>
      </c>
      <c r="F38" s="9" t="n">
        <v>5.5</v>
      </c>
      <c r="G38" s="9" t="n">
        <v>14</v>
      </c>
      <c r="H38" s="9" t="n">
        <v>6.1</v>
      </c>
      <c r="I38" s="9" t="n">
        <v>5.142857142857143</v>
      </c>
      <c r="J38" s="9" t="n">
        <v>0.4013733275519737</v>
      </c>
      <c r="K38" s="9" t="n">
        <v>2.354723521638246</v>
      </c>
      <c r="L38" s="9" t="n">
        <v>0.0326631253236378</v>
      </c>
      <c r="M38" s="9" t="n">
        <v>0.1679065094398526</v>
      </c>
      <c r="N38" s="9" t="n">
        <v>1.737177927613007</v>
      </c>
      <c r="O38" s="9" t="n">
        <v>9.809103007676899</v>
      </c>
      <c r="P38" s="9" t="n">
        <v>0.6118561428418705</v>
      </c>
      <c r="Q38" s="9" t="n">
        <v>0.3742834691764755</v>
      </c>
      <c r="R38" s="9" t="n">
        <v>0.2333333333333316</v>
      </c>
      <c r="S38" s="9" t="n">
        <v>0.4534264097200271</v>
      </c>
      <c r="T38" s="9" t="n">
        <v>342975347791.6344</v>
      </c>
      <c r="U38" s="9" t="n">
        <v>0.0625000000000005</v>
      </c>
      <c r="V38" s="9" t="n">
        <v>6.144212353328218e-06</v>
      </c>
      <c r="W38" s="9" t="n">
        <v>1.856953381770518</v>
      </c>
      <c r="X38" s="9" t="n">
        <v>13.5806129623463</v>
      </c>
      <c r="Y38" s="9" t="n">
        <v>47.0604957508616</v>
      </c>
      <c r="Z38" s="9" t="n">
        <v>84.49584287375322</v>
      </c>
      <c r="AA38" s="9" t="n">
        <v>19.80822902950683</v>
      </c>
      <c r="AB38" s="9" t="n">
        <v>57.4130545002902</v>
      </c>
      <c r="AC38" s="9" t="n">
        <v>-0.595026305838169</v>
      </c>
      <c r="AD38" s="9" t="n">
        <v>10.29981828703603</v>
      </c>
      <c r="AE38" s="9" t="n">
        <v>12007.11386226852</v>
      </c>
      <c r="AF38" s="9" t="n">
        <v>12007.11386226852</v>
      </c>
      <c r="AG38" s="9" t="n">
        <v>12007.11386226852</v>
      </c>
      <c r="AH38" s="8" t="inlineStr">
        <is>
          <t>Moderate (5.0-5.9)</t>
        </is>
      </c>
    </row>
    <row r="39">
      <c r="A39" s="8" t="inlineStr">
        <is>
          <t>1969-02-17 00:43:03.000</t>
        </is>
      </c>
      <c r="B39" s="8" t="n">
        <v>1969</v>
      </c>
      <c r="C39" s="9" t="n">
        <v>3.7</v>
      </c>
      <c r="D39" s="9" t="n">
        <v>128.4</v>
      </c>
      <c r="E39" s="8" t="n">
        <v>49</v>
      </c>
      <c r="F39" s="9" t="n">
        <v>5.6</v>
      </c>
      <c r="G39" s="9" t="n">
        <v>5</v>
      </c>
      <c r="H39" s="9" t="n">
        <v>5.3</v>
      </c>
      <c r="I39" s="9" t="n">
        <v>5.08</v>
      </c>
      <c r="J39" s="9" t="n">
        <v/>
      </c>
      <c r="K39" s="9" t="n">
        <v/>
      </c>
      <c r="L39" s="9" t="n">
        <v/>
      </c>
      <c r="M39" s="9" t="n">
        <v/>
      </c>
      <c r="N39" s="9" t="n">
        <v/>
      </c>
      <c r="O39" s="9" t="n">
        <v/>
      </c>
      <c r="P39" s="9" t="n">
        <v/>
      </c>
      <c r="Q39" s="9" t="n">
        <v/>
      </c>
      <c r="R39" s="9" t="n">
        <v/>
      </c>
      <c r="S39" s="9" t="n">
        <v/>
      </c>
      <c r="T39" s="9" t="n">
        <v>89336049571.0524</v>
      </c>
      <c r="U39" s="9" t="n">
        <v/>
      </c>
      <c r="V39" s="9" t="n">
        <v/>
      </c>
      <c r="W39" s="9" t="n">
        <v>1.299038105676658</v>
      </c>
      <c r="X39" s="9" t="n">
        <v>3.758943694526856</v>
      </c>
      <c r="Y39" s="9" t="n">
        <v>69.0003136282357</v>
      </c>
      <c r="Z39" s="9" t="n">
        <v>109.8040446035424</v>
      </c>
      <c r="AA39" s="9" t="n">
        <v>47.62670733053406</v>
      </c>
      <c r="AB39" s="9" t="n">
        <v>98.53034763034944</v>
      </c>
      <c r="AC39" s="9" t="n">
        <v>2.981684165869414</v>
      </c>
      <c r="AD39" s="9" t="n">
        <v>15827.6785300926</v>
      </c>
      <c r="AE39" s="9" t="n">
        <v>43535.17270833333</v>
      </c>
      <c r="AF39" s="9" t="n">
        <v>43535.17270833333</v>
      </c>
      <c r="AG39" s="9" t="n">
        <v>43535.17270833333</v>
      </c>
      <c r="AH39" s="8" t="inlineStr">
        <is>
          <t>Moderate (5.0-5.9)</t>
        </is>
      </c>
    </row>
    <row r="40">
      <c r="A40" s="8" t="inlineStr">
        <is>
          <t>1969-02-17 01:15:53.000</t>
        </is>
      </c>
      <c r="B40" s="8" t="n">
        <v>1969</v>
      </c>
      <c r="C40" s="9" t="n">
        <v>3.92</v>
      </c>
      <c r="D40" s="9" t="n">
        <v>128.68</v>
      </c>
      <c r="E40" s="8" t="n">
        <v>62</v>
      </c>
      <c r="F40" s="9" t="n">
        <v>5.2</v>
      </c>
      <c r="G40" s="9" t="n">
        <v>6</v>
      </c>
      <c r="H40" s="9" t="n">
        <v>5.6</v>
      </c>
      <c r="I40" s="9" t="n">
        <v>5.166666666666667</v>
      </c>
      <c r="J40" s="9" t="n">
        <v>0.9030899869919472</v>
      </c>
      <c r="K40" s="9" t="n">
        <v>4.997097928022108</v>
      </c>
      <c r="L40" s="9" t="n">
        <v>0.1854855027447725</v>
      </c>
      <c r="M40" s="9" t="n">
        <v>0.0824404595554224</v>
      </c>
      <c r="N40" s="9" t="n">
        <v>1.447648273010844</v>
      </c>
      <c r="O40" s="9" t="n">
        <v>7.828801015320373</v>
      </c>
      <c r="P40" s="9" t="n">
        <v>0.4766219405422218</v>
      </c>
      <c r="Q40" s="9" t="n">
        <v>0.1593323514489472</v>
      </c>
      <c r="R40" s="9" t="n">
        <v>0.0666666666666664</v>
      </c>
      <c r="S40" s="9" t="n">
        <v>0.1920558458320167</v>
      </c>
      <c r="T40" s="9" t="n">
        <v>141433992021.4926</v>
      </c>
      <c r="U40" s="9" t="n">
        <v>0.0019531249999999</v>
      </c>
      <c r="V40" s="9" t="n">
        <v>4.539992976248326e-05</v>
      </c>
      <c r="W40" s="9" t="n">
        <v>0.816496580927726</v>
      </c>
      <c r="X40" s="9" t="n">
        <v>4.725831959856174</v>
      </c>
      <c r="Y40" s="9" t="n">
        <v>69.0003136282357</v>
      </c>
      <c r="Z40" s="9" t="n">
        <v>116.4774678407553</v>
      </c>
      <c r="AA40" s="9" t="n">
        <v>45.62729519855981</v>
      </c>
      <c r="AB40" s="9" t="n">
        <v>125.3919543243775</v>
      </c>
      <c r="AC40" s="9" t="n">
        <v>3.563742923957502</v>
      </c>
      <c r="AD40" s="9" t="n">
        <v>15827.70133101852</v>
      </c>
      <c r="AE40" s="9" t="n">
        <v>43535.17270833333</v>
      </c>
      <c r="AF40" s="9" t="n">
        <v>43535.17270833333</v>
      </c>
      <c r="AG40" s="9" t="n">
        <v>43535.17270833333</v>
      </c>
      <c r="AH40" s="8" t="inlineStr">
        <is>
          <t>Moderate (5.0-5.9)</t>
        </is>
      </c>
    </row>
    <row r="41">
      <c r="A41" s="8" t="inlineStr">
        <is>
          <t>1969-02-17 01:26:13.000</t>
        </is>
      </c>
      <c r="B41" s="8" t="n">
        <v>1969</v>
      </c>
      <c r="C41" s="9" t="n">
        <v>3.7</v>
      </c>
      <c r="D41" s="9" t="n">
        <v>128.7</v>
      </c>
      <c r="E41" s="8" t="n">
        <v>89</v>
      </c>
      <c r="F41" s="9" t="n">
        <v>5.1</v>
      </c>
      <c r="G41" s="9" t="n">
        <v>7</v>
      </c>
      <c r="H41" s="9" t="n">
        <v>5.6</v>
      </c>
      <c r="I41" s="9" t="n">
        <v>5.171428571428572</v>
      </c>
      <c r="J41" s="9" t="n">
        <v>1.255272505103311</v>
      </c>
      <c r="K41" s="9" t="n">
        <v>6.934101777634609</v>
      </c>
      <c r="L41" s="9" t="n">
        <v>0.3033638404676971</v>
      </c>
      <c r="M41" s="9" t="n">
        <v>0.0994848859037929</v>
      </c>
      <c r="N41" s="9" t="n">
        <v>2.004436070322708</v>
      </c>
      <c r="O41" s="9" t="n">
        <v>10.90018882039774</v>
      </c>
      <c r="P41" s="9" t="n">
        <v>0.7735211622135715</v>
      </c>
      <c r="Q41" s="9" t="n">
        <v>0.1494525827648735</v>
      </c>
      <c r="R41" s="9" t="n">
        <v>0.0760187533431864</v>
      </c>
      <c r="S41" s="9" t="n">
        <v>0.161967337455243</v>
      </c>
      <c r="T41" s="9" t="n">
        <v>149313233679.7491</v>
      </c>
      <c r="U41" s="9" t="n">
        <v>0.0001714677640603</v>
      </c>
      <c r="V41" s="9" t="n">
        <v>9.698214581497943e-07</v>
      </c>
      <c r="W41" s="9" t="n">
        <v>0.3396831102433787</v>
      </c>
      <c r="X41" s="9" t="n">
        <v>5.831226725844669</v>
      </c>
      <c r="Y41" s="9" t="n">
        <v>69.0003136282357</v>
      </c>
      <c r="Z41" s="9" t="n">
        <v>120.2475171076161</v>
      </c>
      <c r="AA41" s="9" t="n">
        <v>42.82952201775083</v>
      </c>
      <c r="AB41" s="9" t="n">
        <v>127.4228225765725</v>
      </c>
      <c r="AC41" s="9" t="n">
        <v>3.379938457070482</v>
      </c>
      <c r="AD41" s="9" t="n">
        <v>15827.70850694444</v>
      </c>
      <c r="AE41" s="9" t="n">
        <v>43535.17270833333</v>
      </c>
      <c r="AF41" s="9" t="n">
        <v>43535.17270833333</v>
      </c>
      <c r="AG41" s="9" t="n">
        <v>43535.17270833333</v>
      </c>
      <c r="AH41" s="8" t="inlineStr">
        <is>
          <t>Moderate (5.0-5.9)</t>
        </is>
      </c>
    </row>
    <row r="42">
      <c r="A42" s="8" t="inlineStr">
        <is>
          <t>1969-02-17 02:00:35.000</t>
        </is>
      </c>
      <c r="B42" s="8" t="n">
        <v>1969</v>
      </c>
      <c r="C42" s="9" t="n">
        <v>3.8</v>
      </c>
      <c r="D42" s="9" t="n">
        <v>128.6</v>
      </c>
      <c r="E42" s="8" t="n">
        <v>74</v>
      </c>
      <c r="F42" s="9" t="n">
        <v>5.1</v>
      </c>
      <c r="G42" s="9" t="n">
        <v>9</v>
      </c>
      <c r="H42" s="9" t="n">
        <v>5.6</v>
      </c>
      <c r="I42" s="9" t="n">
        <v>5.122222222222222</v>
      </c>
      <c r="J42" s="9" t="n">
        <v>1.255272505103311</v>
      </c>
      <c r="K42" s="9" t="n">
        <v>6.934101777634609</v>
      </c>
      <c r="L42" s="9" t="n">
        <v>0.275329132799894</v>
      </c>
      <c r="M42" s="9" t="n">
        <v>0.0994848859037929</v>
      </c>
      <c r="N42" s="9" t="n">
        <v>2.004436070322708</v>
      </c>
      <c r="O42" s="9" t="n">
        <v>10.90018882039774</v>
      </c>
      <c r="P42" s="9" t="n">
        <v>0.7020378910890888</v>
      </c>
      <c r="Q42" s="9" t="n">
        <v>0.2449938325544759</v>
      </c>
      <c r="R42" s="9" t="n">
        <v>0.0760187533431864</v>
      </c>
      <c r="S42" s="9" t="n">
        <v>0.161967337455243</v>
      </c>
      <c r="T42" s="9" t="n">
        <v>155706515061.4442</v>
      </c>
      <c r="U42" s="9" t="n">
        <v>0.0001714677640603</v>
      </c>
      <c r="V42" s="9" t="n">
        <v>9.698214581497943e-07</v>
      </c>
      <c r="W42" s="9" t="n">
        <v>-0.223606797749979</v>
      </c>
      <c r="X42" s="9" t="n">
        <v>7.154293792422468</v>
      </c>
      <c r="Y42" s="9" t="n">
        <v>69.0003136282357</v>
      </c>
      <c r="Z42" s="9" t="n">
        <v>129.0995785874736</v>
      </c>
      <c r="AA42" s="9" t="n">
        <v>41.09975209682003</v>
      </c>
      <c r="AB42" s="9" t="n">
        <v>130.9088617161887</v>
      </c>
      <c r="AC42" s="9" t="n">
        <v>3.970404614492793</v>
      </c>
      <c r="AD42" s="9" t="n">
        <v>15827.73237268519</v>
      </c>
      <c r="AE42" s="9" t="n">
        <v>43535.17270833333</v>
      </c>
      <c r="AF42" s="9" t="n">
        <v>43535.17270833333</v>
      </c>
      <c r="AG42" s="9" t="n">
        <v>43535.17270833333</v>
      </c>
      <c r="AH42" s="8" t="inlineStr">
        <is>
          <t>Moderate (5.0-5.9)</t>
        </is>
      </c>
    </row>
    <row r="43">
      <c r="A43" s="8" t="inlineStr">
        <is>
          <t>1969-02-17 06:27:19.000</t>
        </is>
      </c>
      <c r="B43" s="8" t="n">
        <v>1969</v>
      </c>
      <c r="C43" s="9" t="n">
        <v>3.5</v>
      </c>
      <c r="D43" s="9" t="n">
        <v>128.6</v>
      </c>
      <c r="E43" s="8" t="n">
        <v>98</v>
      </c>
      <c r="F43" s="9" t="n">
        <v>5.2</v>
      </c>
      <c r="G43" s="9" t="n">
        <v>9</v>
      </c>
      <c r="H43" s="9" t="n">
        <v>5.6</v>
      </c>
      <c r="I43" s="9" t="n">
        <v>5.077777777777778</v>
      </c>
      <c r="J43" s="9" t="n">
        <v>-0</v>
      </c>
      <c r="K43" s="9" t="n">
        <v>0</v>
      </c>
      <c r="L43" s="9" t="n">
        <v>0</v>
      </c>
      <c r="M43" s="9" t="n">
        <v>0</v>
      </c>
      <c r="N43" s="9" t="n">
        <v/>
      </c>
      <c r="O43" s="9" t="n">
        <v/>
      </c>
      <c r="P43" s="9" t="n">
        <v/>
      </c>
      <c r="Q43" s="9" t="n">
        <v/>
      </c>
      <c r="R43" s="9" t="n">
        <v/>
      </c>
      <c r="S43" s="9" t="n">
        <v/>
      </c>
      <c r="T43" s="9" t="n">
        <v>147401585502.7712</v>
      </c>
      <c r="U43" s="9" t="n">
        <v>1</v>
      </c>
      <c r="V43" s="9" t="n">
        <v/>
      </c>
      <c r="W43" s="9" t="n">
        <v>-0.8257228238447705</v>
      </c>
      <c r="X43" s="9" t="n">
        <v>7.62649675584413</v>
      </c>
      <c r="Y43" s="9" t="n">
        <v>92.05439141330947</v>
      </c>
      <c r="Z43" s="9" t="n">
        <v>148.0058734759597</v>
      </c>
      <c r="AA43" s="9" t="n">
        <v>23.40277410502836</v>
      </c>
      <c r="AB43" s="9" t="n">
        <v>146.9926375870828</v>
      </c>
      <c r="AC43" s="9" t="n">
        <v>1.86769352226313</v>
      </c>
      <c r="AD43" s="9" t="n">
        <v>15827.91760416667</v>
      </c>
      <c r="AE43" s="9" t="n">
        <v>43535.17270833333</v>
      </c>
      <c r="AF43" s="9" t="n">
        <v>43535.17270833333</v>
      </c>
      <c r="AG43" s="9" t="n">
        <v>43535.17270833333</v>
      </c>
      <c r="AH43" s="8" t="inlineStr">
        <is>
          <t>Moderate (5.0-5.9)</t>
        </is>
      </c>
    </row>
    <row r="44">
      <c r="A44" s="8" t="inlineStr">
        <is>
          <t>1969-02-20 09:55:29.000</t>
        </is>
      </c>
      <c r="B44" s="8" t="n">
        <v>1969</v>
      </c>
      <c r="C44" s="9" t="n">
        <v>3.58</v>
      </c>
      <c r="D44" s="9" t="n">
        <v>128.16</v>
      </c>
      <c r="E44" s="8" t="n">
        <v>2</v>
      </c>
      <c r="F44" s="9" t="n">
        <v>5.6</v>
      </c>
      <c r="G44" s="9" t="n">
        <v>9</v>
      </c>
      <c r="H44" s="9" t="n">
        <v>5.6</v>
      </c>
      <c r="I44" s="9" t="n">
        <v>5.088888888888889</v>
      </c>
      <c r="J44" s="9" t="n">
        <v>1.57512692265517</v>
      </c>
      <c r="K44" s="9" t="n">
        <v>8.636914018510963</v>
      </c>
      <c r="L44" s="9" t="n">
        <v>0.46049791474872</v>
      </c>
      <c r="M44" s="9" t="n">
        <v>0.1592202993606432</v>
      </c>
      <c r="N44" s="9" t="n">
        <v>1.961329918272749</v>
      </c>
      <c r="O44" s="9" t="n">
        <v>10.651747631378</v>
      </c>
      <c r="P44" s="9" t="n">
        <v>0.7139994296412363</v>
      </c>
      <c r="Q44" s="9" t="n">
        <v>0.2470643560005509</v>
      </c>
      <c r="R44" s="9" t="n">
        <v>0.1166869448515077</v>
      </c>
      <c r="S44" s="9" t="n">
        <v>0.1691198955663235</v>
      </c>
      <c r="T44" s="9" t="n">
        <v>150015111948.9711</v>
      </c>
      <c r="U44" s="9" t="n">
        <v>1.88199832270382e-05</v>
      </c>
      <c r="V44" s="9" t="n">
        <v>1.306201701592639e-06</v>
      </c>
      <c r="W44" s="9" t="n">
        <v>-0.7024393586862705</v>
      </c>
      <c r="X44" s="9" t="n">
        <v>6.48919344831325</v>
      </c>
      <c r="Y44" s="9" t="n">
        <v>69.0806703804046</v>
      </c>
      <c r="Z44" s="9" t="n">
        <v>145.8479593276411</v>
      </c>
      <c r="AA44" s="9" t="n">
        <v>30.91362215764066</v>
      </c>
      <c r="AB44" s="9" t="n">
        <v>148.9639972904023</v>
      </c>
      <c r="AC44" s="9" t="n">
        <v>7.65968050102404</v>
      </c>
      <c r="AD44" s="9" t="n">
        <v>7270.139861111113</v>
      </c>
      <c r="AE44" s="9" t="n">
        <v>7270.139861111113</v>
      </c>
      <c r="AF44" s="9" t="n">
        <v>7270.139861111113</v>
      </c>
      <c r="AG44" s="9" t="n">
        <v>43535.17270833333</v>
      </c>
      <c r="AH44" s="8" t="inlineStr">
        <is>
          <t>Moderate (5.0-5.9)</t>
        </is>
      </c>
    </row>
    <row r="45">
      <c r="A45" s="8" t="inlineStr">
        <is>
          <t>1969-02-20 10:30:21.500</t>
        </is>
      </c>
      <c r="B45" s="8" t="n">
        <v>1969</v>
      </c>
      <c r="C45" s="9" t="n">
        <v>3.5</v>
      </c>
      <c r="D45" s="9" t="n">
        <v>128.4</v>
      </c>
      <c r="E45" s="8" t="n">
        <v>74</v>
      </c>
      <c r="F45" s="9" t="n">
        <v>5.8</v>
      </c>
      <c r="G45" s="9" t="n">
        <v>9</v>
      </c>
      <c r="H45" s="9" t="n">
        <v>5.6</v>
      </c>
      <c r="I45" s="9" t="n">
        <v>5.155555555555555</v>
      </c>
      <c r="J45" s="9" t="n">
        <v>1.031241656483621</v>
      </c>
      <c r="K45" s="9" t="n">
        <v>5.955499245703444</v>
      </c>
      <c r="L45" s="9" t="n">
        <v>0.238092335025023</v>
      </c>
      <c r="M45" s="9" t="n">
        <v>0.1054776336940057</v>
      </c>
      <c r="N45" s="9" t="n">
        <v>1.413982034103612</v>
      </c>
      <c r="O45" s="9" t="n">
        <v>7.915008210532314</v>
      </c>
      <c r="P45" s="9" t="n">
        <v>0.4476229050472106</v>
      </c>
      <c r="Q45" s="9" t="n">
        <v>0.1796654321945145</v>
      </c>
      <c r="R45" s="9" t="n">
        <v>-0.1750762959002285</v>
      </c>
      <c r="S45" s="9" t="n">
        <v>0.002327597075868</v>
      </c>
      <c r="T45" s="9" t="n">
        <v>183104282197.9771</v>
      </c>
      <c r="U45" s="9" t="n">
        <v>0.0008058886337896</v>
      </c>
      <c r="V45" s="9" t="n">
        <v>5.728671216846342e-05</v>
      </c>
      <c r="W45" s="9" t="n">
        <v>-1.003418813391742</v>
      </c>
      <c r="X45" s="9" t="n">
        <v>6.87218282218995</v>
      </c>
      <c r="Y45" s="9" t="n">
        <v>142.867812708781</v>
      </c>
      <c r="Z45" s="9" t="n">
        <v>155.4926260330978</v>
      </c>
      <c r="AA45" s="9" t="n">
        <v>11.26675805810655</v>
      </c>
      <c r="AB45" s="9" t="n">
        <v>154.4221159039564</v>
      </c>
      <c r="AC45" s="9" t="n">
        <v>1.606525808519783</v>
      </c>
      <c r="AD45" s="9" t="n">
        <v>7270.164079861113</v>
      </c>
      <c r="AE45" s="9" t="n">
        <v>7270.164079861113</v>
      </c>
      <c r="AF45" s="9" t="n">
        <v>7270.164079861113</v>
      </c>
      <c r="AG45" s="9" t="n">
        <v>43535.17270833333</v>
      </c>
      <c r="AH45" s="8" t="inlineStr">
        <is>
          <t>Moderate (5.0-5.9)</t>
        </is>
      </c>
    </row>
    <row r="46">
      <c r="A46" s="8" t="inlineStr">
        <is>
          <t>1969-02-20 10:53:29.000</t>
        </is>
      </c>
      <c r="B46" s="8" t="n">
        <v>1969</v>
      </c>
      <c r="C46" s="9" t="n">
        <v>3.45</v>
      </c>
      <c r="D46" s="9" t="n">
        <v>128.22</v>
      </c>
      <c r="E46" s="8" t="n">
        <v>101</v>
      </c>
      <c r="F46" s="9" t="n">
        <v>5</v>
      </c>
      <c r="G46" s="9" t="n">
        <v>10</v>
      </c>
      <c r="H46" s="9" t="n">
        <v>5.8</v>
      </c>
      <c r="I46" s="9" t="n">
        <v>5.22</v>
      </c>
      <c r="J46" s="9" t="n">
        <v>1.098558594540541</v>
      </c>
      <c r="K46" s="9" t="n">
        <v>6.416176749432353</v>
      </c>
      <c r="L46" s="9" t="n">
        <v>0.3006664657738733</v>
      </c>
      <c r="M46" s="9" t="n">
        <v>0.1100244163069316</v>
      </c>
      <c r="N46" s="9" t="n">
        <v>1.158118618408674</v>
      </c>
      <c r="O46" s="9" t="n">
        <v>6.693683079035315</v>
      </c>
      <c r="P46" s="9" t="n">
        <v>0.3341524329431813</v>
      </c>
      <c r="Q46" s="9" t="n">
        <v>0.1384367498926826</v>
      </c>
      <c r="R46" s="9" t="n">
        <v>-0.0405412158427846</v>
      </c>
      <c r="S46" s="9" t="n">
        <v>0.0202094218700628</v>
      </c>
      <c r="T46" s="9" t="n">
        <v>247122368863.3181</v>
      </c>
      <c r="U46" s="9" t="n">
        <v>0.0005062024192087</v>
      </c>
      <c r="V46" s="9" t="n">
        <v>0.0003354626279025</v>
      </c>
      <c r="W46" s="9" t="n">
        <v>-1.138989594902999</v>
      </c>
      <c r="X46" s="9" t="n">
        <v>7.479798385774066</v>
      </c>
      <c r="Y46" s="9" t="n">
        <v>142.867812708781</v>
      </c>
      <c r="Z46" s="9" t="n">
        <v>157.0272072132123</v>
      </c>
      <c r="AA46" s="9" t="n">
        <v>11.67839050445938</v>
      </c>
      <c r="AB46" s="9" t="n">
        <v>160.8378717827382</v>
      </c>
      <c r="AC46" s="9" t="n">
        <v>2.091424821755258</v>
      </c>
      <c r="AD46" s="9" t="n">
        <v>7270.180138888891</v>
      </c>
      <c r="AE46" s="9" t="n">
        <v>7270.180138888891</v>
      </c>
      <c r="AF46" s="9" t="n">
        <v>7270.180138888891</v>
      </c>
      <c r="AG46" s="9" t="n">
        <v>43535.17270833333</v>
      </c>
      <c r="AH46" s="8" t="inlineStr">
        <is>
          <t>Moderate (5.0-5.9)</t>
        </is>
      </c>
    </row>
    <row r="47">
      <c r="A47" s="8" t="inlineStr">
        <is>
          <t>1969-02-20 13:06:13.000</t>
        </is>
      </c>
      <c r="B47" s="8" t="n">
        <v>1969</v>
      </c>
      <c r="C47" s="9" t="n">
        <v>3.54</v>
      </c>
      <c r="D47" s="9" t="n">
        <v>128.32</v>
      </c>
      <c r="E47" s="8" t="n">
        <v>83</v>
      </c>
      <c r="F47" s="9" t="n">
        <v>5.2</v>
      </c>
      <c r="G47" s="9" t="n">
        <v>12</v>
      </c>
      <c r="H47" s="9" t="n">
        <v>5.8</v>
      </c>
      <c r="I47" s="9" t="n">
        <v>5.175</v>
      </c>
      <c r="J47" s="9" t="n">
        <v>1.132660276172129</v>
      </c>
      <c r="K47" s="9" t="n">
        <v>6.60600944384819</v>
      </c>
      <c r="L47" s="9" t="n">
        <v>0.2792806098559511</v>
      </c>
      <c r="M47" s="9" t="n">
        <v>0.1097695967500738</v>
      </c>
      <c r="N47" s="9" t="n">
        <v>1.281524700698125</v>
      </c>
      <c r="O47" s="9" t="n">
        <v>7.361866012929949</v>
      </c>
      <c r="P47" s="9" t="n">
        <v>0.3575159384631333</v>
      </c>
      <c r="Q47" s="9" t="n">
        <v>0.1420092902406277</v>
      </c>
      <c r="R47" s="9" t="n">
        <v>-0.0322955106834568</v>
      </c>
      <c r="S47" s="9" t="n">
        <v>0.0553850043471726</v>
      </c>
      <c r="T47" s="9" t="n">
        <v>250459894275.7617</v>
      </c>
      <c r="U47" s="9" t="n">
        <v>0.0003999624053007</v>
      </c>
      <c r="V47" s="9" t="n">
        <v>0.0001430295913787</v>
      </c>
      <c r="W47" s="9" t="n">
        <v>-1.328422328310143</v>
      </c>
      <c r="X47" s="9" t="n">
        <v>8.616200394542203</v>
      </c>
      <c r="Y47" s="9" t="n">
        <v>142.867812708781</v>
      </c>
      <c r="Z47" s="9" t="n">
        <v>157.4049947450667</v>
      </c>
      <c r="AA47" s="9" t="n">
        <v>11.76471335523074</v>
      </c>
      <c r="AB47" s="9" t="n">
        <v>160.8581821214188</v>
      </c>
      <c r="AC47" s="9" t="n">
        <v>1.761409506125134</v>
      </c>
      <c r="AD47" s="9" t="n">
        <v>7270.272314814816</v>
      </c>
      <c r="AE47" s="9" t="n">
        <v>7270.272314814816</v>
      </c>
      <c r="AF47" s="9" t="n">
        <v>7270.272314814816</v>
      </c>
      <c r="AG47" s="9" t="n">
        <v>43535.17270833333</v>
      </c>
      <c r="AH47" s="8" t="inlineStr">
        <is>
          <t>Moderate (5.0-5.9)</t>
        </is>
      </c>
    </row>
    <row r="48">
      <c r="A48" s="8" t="inlineStr">
        <is>
          <t>1969-02-20 15:38:06.000</t>
        </is>
      </c>
      <c r="B48" s="8" t="n">
        <v>1969</v>
      </c>
      <c r="C48" s="9" t="n">
        <v>3.45</v>
      </c>
      <c r="D48" s="9" t="n">
        <v>128.24</v>
      </c>
      <c r="E48" s="8" t="n">
        <v>78</v>
      </c>
      <c r="F48" s="9" t="n">
        <v>5</v>
      </c>
      <c r="G48" s="9" t="n">
        <v>13</v>
      </c>
      <c r="H48" s="9" t="n">
        <v>5.8</v>
      </c>
      <c r="I48" s="9" t="n">
        <v>5.176923076923076</v>
      </c>
      <c r="J48" s="9" t="n">
        <v>1.431363764158964</v>
      </c>
      <c r="K48" s="9" t="n">
        <v>8.301909832121989</v>
      </c>
      <c r="L48" s="9" t="n">
        <v>0.4103666562797394</v>
      </c>
      <c r="M48" s="9" t="n">
        <v>0.1306650369375631</v>
      </c>
      <c r="N48" s="9" t="n">
        <v>1.371456258641849</v>
      </c>
      <c r="O48" s="9" t="n">
        <v>7.882985051385647</v>
      </c>
      <c r="P48" s="9" t="n">
        <v>0.3767349829347572</v>
      </c>
      <c r="Q48" s="9" t="n">
        <v>0.1588838727096628</v>
      </c>
      <c r="R48" s="9" t="n">
        <v>2.664535259100376e-15</v>
      </c>
      <c r="S48" s="9" t="n">
        <v>0.0521061085884317</v>
      </c>
      <c r="T48" s="9" t="n">
        <v>254992208299.3777</v>
      </c>
      <c r="U48" s="9" t="n">
        <v>5.0805263425299e-05</v>
      </c>
      <c r="V48" s="9" t="n">
        <v>7.684776196487846e-05</v>
      </c>
      <c r="W48" s="9" t="n">
        <v>-1.382217897362595</v>
      </c>
      <c r="X48" s="9" t="n">
        <v>9.591709015301454</v>
      </c>
      <c r="Y48" s="9" t="n">
        <v>142.867812708781</v>
      </c>
      <c r="Z48" s="9" t="n">
        <v>157.9154532558717</v>
      </c>
      <c r="AA48" s="9" t="n">
        <v>11.41323016895196</v>
      </c>
      <c r="AB48" s="9" t="n">
        <v>161.0016738543756</v>
      </c>
      <c r="AC48" s="9" t="n">
        <v>1.807275171324204</v>
      </c>
      <c r="AD48" s="9" t="n">
        <v>7270.377789351851</v>
      </c>
      <c r="AE48" s="9" t="n">
        <v>7270.377789351851</v>
      </c>
      <c r="AF48" s="9" t="n">
        <v>7270.377789351851</v>
      </c>
      <c r="AG48" s="9" t="n">
        <v>43535.17270833333</v>
      </c>
      <c r="AH48" s="8" t="inlineStr">
        <is>
          <t>Moderate (5.0-5.9)</t>
        </is>
      </c>
    </row>
    <row r="49">
      <c r="A49" s="8" t="inlineStr">
        <is>
          <t>1969-02-20 16:58:15.000</t>
        </is>
      </c>
      <c r="B49" s="8" t="n">
        <v>1969</v>
      </c>
      <c r="C49" s="9" t="n">
        <v>3.57</v>
      </c>
      <c r="D49" s="9" t="n">
        <v>128.34</v>
      </c>
      <c r="E49" s="8" t="n">
        <v>49</v>
      </c>
      <c r="F49" s="9" t="n">
        <v>5.2</v>
      </c>
      <c r="G49" s="9" t="n">
        <v>15</v>
      </c>
      <c r="H49" s="9" t="n">
        <v>5.8</v>
      </c>
      <c r="I49" s="9" t="n">
        <v>5.153333333333333</v>
      </c>
      <c r="J49" s="9" t="n">
        <v>1.174534378782236</v>
      </c>
      <c r="K49" s="9" t="n">
        <v>6.843744264625485</v>
      </c>
      <c r="L49" s="9" t="n">
        <v>0.2435527352763085</v>
      </c>
      <c r="M49" s="9" t="n">
        <v>0.1282475034698176</v>
      </c>
      <c r="N49" s="9" t="n">
        <v>1.532804053776184</v>
      </c>
      <c r="O49" s="9" t="n">
        <v>8.748732330019799</v>
      </c>
      <c r="P49" s="9" t="n">
        <v>0.4147962540273508</v>
      </c>
      <c r="Q49" s="9" t="n">
        <v>0.1816443192629155</v>
      </c>
      <c r="R49" s="9" t="n">
        <v>-0.0267721986316971</v>
      </c>
      <c r="S49" s="9" t="n">
        <v>0.092334817052051</v>
      </c>
      <c r="T49" s="9" t="n">
        <v>258884194753.9347</v>
      </c>
      <c r="U49" s="9" t="n">
        <v>0.0002995000254664</v>
      </c>
      <c r="V49" s="9" t="n">
        <v>2.521087033094869e-05</v>
      </c>
      <c r="W49" s="9" t="n">
        <v>-1.290402113559529</v>
      </c>
      <c r="X49" s="9" t="n">
        <v>10.60094563996268</v>
      </c>
      <c r="Y49" s="9" t="n">
        <v>69.0806703804046</v>
      </c>
      <c r="Z49" s="9" t="n">
        <v>152.9117169076398</v>
      </c>
      <c r="AA49" s="9" t="n">
        <v>25.73082291844908</v>
      </c>
      <c r="AB49" s="9" t="n">
        <v>159.2456358433565</v>
      </c>
      <c r="AC49" s="9" t="n">
        <v>5.496604483273617</v>
      </c>
      <c r="AD49" s="9" t="n">
        <v>7270.433449074075</v>
      </c>
      <c r="AE49" s="9" t="n">
        <v>7270.433449074075</v>
      </c>
      <c r="AF49" s="9" t="n">
        <v>7270.433449074075</v>
      </c>
      <c r="AG49" s="9" t="n">
        <v>43535.17270833333</v>
      </c>
      <c r="AH49" s="8" t="inlineStr">
        <is>
          <t>Moderate (5.0-5.9)</t>
        </is>
      </c>
    </row>
    <row r="50">
      <c r="A50" s="8" t="inlineStr">
        <is>
          <t>1969-02-20 19:10:20.000</t>
        </is>
      </c>
      <c r="B50" s="8" t="n">
        <v>1969</v>
      </c>
      <c r="C50" s="9" t="n">
        <v>3.69</v>
      </c>
      <c r="D50" s="9" t="n">
        <v>128.38</v>
      </c>
      <c r="E50" s="8" t="n">
        <v>90</v>
      </c>
      <c r="F50" s="9" t="n">
        <v>5.2</v>
      </c>
      <c r="G50" s="9" t="n">
        <v>16</v>
      </c>
      <c r="H50" s="9" t="n">
        <v>5.8</v>
      </c>
      <c r="I50" s="9" t="n">
        <v>5.15625</v>
      </c>
      <c r="J50" s="9" t="n">
        <v>1.246263081957893</v>
      </c>
      <c r="K50" s="9" t="n">
        <v>7.247815959181684</v>
      </c>
      <c r="L50" s="9" t="n">
        <v>0.2567101504030296</v>
      </c>
      <c r="M50" s="9" t="n">
        <v>0.1333586387342914</v>
      </c>
      <c r="N50" s="9" t="n">
        <v>1.737177927613007</v>
      </c>
      <c r="O50" s="9" t="n">
        <v>9.878423263601896</v>
      </c>
      <c r="P50" s="9" t="n">
        <v>0.4987836238319312</v>
      </c>
      <c r="Q50" s="9" t="n">
        <v>0.2410541826145504</v>
      </c>
      <c r="R50" s="9" t="n">
        <v>-0.0156388198511709</v>
      </c>
      <c r="S50" s="9" t="n">
        <v>0.1135224627361708</v>
      </c>
      <c r="T50" s="9" t="n">
        <v>263271521335.2203</v>
      </c>
      <c r="U50" s="9" t="n">
        <v>0.0001824781015961</v>
      </c>
      <c r="V50" s="9" t="n">
        <v>6.144212353328218e-06</v>
      </c>
      <c r="W50" s="9" t="n">
        <v>-1.314534138012399</v>
      </c>
      <c r="X50" s="9" t="n">
        <v>11.23464241608028</v>
      </c>
      <c r="Y50" s="9" t="n">
        <v>69.0806703804046</v>
      </c>
      <c r="Z50" s="9" t="n">
        <v>153.4450074962782</v>
      </c>
      <c r="AA50" s="9" t="n">
        <v>24.94969498452362</v>
      </c>
      <c r="AB50" s="9" t="n">
        <v>159.3365553786455</v>
      </c>
      <c r="AC50" s="9" t="n">
        <v>5.345887768165006</v>
      </c>
      <c r="AD50" s="9" t="n">
        <v>7270.525173611111</v>
      </c>
      <c r="AE50" s="9" t="n">
        <v>7270.525173611111</v>
      </c>
      <c r="AF50" s="9" t="n">
        <v>7270.525173611111</v>
      </c>
      <c r="AG50" s="9" t="n">
        <v>43535.17270833333</v>
      </c>
      <c r="AH50" s="8" t="inlineStr">
        <is>
          <t>Moderate (5.0-5.9)</t>
        </is>
      </c>
    </row>
    <row r="51">
      <c r="A51" s="8" t="inlineStr">
        <is>
          <t>1969-02-20 19:27:01.000</t>
        </is>
      </c>
      <c r="B51" s="8" t="n">
        <v>1969</v>
      </c>
      <c r="C51" s="9" t="n">
        <v>3.3</v>
      </c>
      <c r="D51" s="9" t="n">
        <v>128.3</v>
      </c>
      <c r="E51" s="8" t="n">
        <v>73</v>
      </c>
      <c r="F51" s="9" t="n">
        <v>5</v>
      </c>
      <c r="G51" s="9" t="n">
        <v>16</v>
      </c>
      <c r="H51" s="9" t="n">
        <v>5.8</v>
      </c>
      <c r="I51" s="9" t="n">
        <v>5.16875</v>
      </c>
      <c r="J51" s="9" t="n">
        <v>1.431363764158964</v>
      </c>
      <c r="K51" s="9" t="n">
        <v>8.301909832121989</v>
      </c>
      <c r="L51" s="9" t="n">
        <v>0.3351958717983477</v>
      </c>
      <c r="M51" s="9" t="n">
        <v>0.1306650369375631</v>
      </c>
      <c r="N51" s="9" t="n">
        <v>1.371456258641849</v>
      </c>
      <c r="O51" s="9" t="n">
        <v>7.882985051385647</v>
      </c>
      <c r="P51" s="9" t="n">
        <v>0.3077248336562434</v>
      </c>
      <c r="Q51" s="9" t="n">
        <v>0.1443658567982911</v>
      </c>
      <c r="R51" s="9" t="n">
        <v>2.664535259100376e-15</v>
      </c>
      <c r="S51" s="9" t="n">
        <v>0.0521061085884317</v>
      </c>
      <c r="T51" s="9" t="n">
        <v>265711801768.2481</v>
      </c>
      <c r="U51" s="9" t="n">
        <v>5.0805263425299e-05</v>
      </c>
      <c r="V51" s="9" t="n">
        <v>7.684776196487846e-05</v>
      </c>
      <c r="W51" s="9" t="n">
        <v>-1.433856358197729</v>
      </c>
      <c r="X51" s="9" t="n">
        <v>12.09300012550748</v>
      </c>
      <c r="Y51" s="9" t="n">
        <v>142.867812708781</v>
      </c>
      <c r="Z51" s="9" t="n">
        <v>158.5106159777972</v>
      </c>
      <c r="AA51" s="9" t="n">
        <v>11.01631570057084</v>
      </c>
      <c r="AB51" s="9" t="n">
        <v>160.7962768874057</v>
      </c>
      <c r="AC51" s="9" t="n">
        <v>1.672361847094952</v>
      </c>
      <c r="AD51" s="9" t="n">
        <v>7270.536759259261</v>
      </c>
      <c r="AE51" s="9" t="n">
        <v>7270.536759259261</v>
      </c>
      <c r="AF51" s="9" t="n">
        <v>7270.536759259261</v>
      </c>
      <c r="AG51" s="9" t="n">
        <v>43535.17270833333</v>
      </c>
      <c r="AH51" s="8" t="inlineStr">
        <is>
          <t>Moderate (5.0-5.9)</t>
        </is>
      </c>
    </row>
    <row r="52">
      <c r="A52" s="8" t="inlineStr">
        <is>
          <t>1969-02-24 16:41:48.000</t>
        </is>
      </c>
      <c r="B52" s="8" t="n">
        <v>1969</v>
      </c>
      <c r="C52" s="9" t="n">
        <v>3.62</v>
      </c>
      <c r="D52" s="9" t="n">
        <v>128.72</v>
      </c>
      <c r="E52" s="8" t="n">
        <v>68</v>
      </c>
      <c r="F52" s="9" t="n">
        <v>5</v>
      </c>
      <c r="G52" s="9" t="n">
        <v>17</v>
      </c>
      <c r="H52" s="9" t="n">
        <v>5.8</v>
      </c>
      <c r="I52" s="9" t="n">
        <v>5.152941176470588</v>
      </c>
      <c r="J52" s="9" t="n">
        <v>1.431363764158964</v>
      </c>
      <c r="K52" s="9" t="n">
        <v>8.301909832121989</v>
      </c>
      <c r="L52" s="9" t="n">
        <v>0.3235543233716244</v>
      </c>
      <c r="M52" s="9" t="n">
        <v>0.1306650369375631</v>
      </c>
      <c r="N52" s="9" t="n">
        <v>1.371456258641849</v>
      </c>
      <c r="O52" s="9" t="n">
        <v>7.882985051385647</v>
      </c>
      <c r="P52" s="9" t="n">
        <v>0.2970373704309513</v>
      </c>
      <c r="Q52" s="9" t="n">
        <v>0.139225039565745</v>
      </c>
      <c r="R52" s="9" t="n">
        <v>2.664535259100376e-15</v>
      </c>
      <c r="S52" s="9" t="n">
        <v>0.0521061085884317</v>
      </c>
      <c r="T52" s="9" t="n">
        <v>266952158723.1254</v>
      </c>
      <c r="U52" s="9" t="n">
        <v>5.0805263425299e-05</v>
      </c>
      <c r="V52" s="9" t="n">
        <v>7.684776196487846e-05</v>
      </c>
      <c r="W52" s="9" t="n">
        <v>-0.3234983196103152</v>
      </c>
      <c r="X52" s="9" t="n">
        <v>12.92676382890948</v>
      </c>
      <c r="Y52" s="9" t="n">
        <v>142.867812708781</v>
      </c>
      <c r="Z52" s="9" t="n">
        <v>161.0404792898001</v>
      </c>
      <c r="AA52" s="9" t="n">
        <v>12.36840751266022</v>
      </c>
      <c r="AB52" s="9" t="n">
        <v>161.6414425304532</v>
      </c>
      <c r="AC52" s="9" t="n">
        <v>1.50607903970326</v>
      </c>
      <c r="AD52" s="9" t="n">
        <v>15835.3443287037</v>
      </c>
      <c r="AE52" s="9" t="n">
        <v>43535.17270833333</v>
      </c>
      <c r="AF52" s="9" t="n">
        <v>43535.17270833333</v>
      </c>
      <c r="AG52" s="9" t="n">
        <v>43535.17270833333</v>
      </c>
      <c r="AH52" s="8" t="inlineStr">
        <is>
          <t>Moderate (5.0-5.9)</t>
        </is>
      </c>
    </row>
    <row r="53">
      <c r="A53" s="8" t="inlineStr">
        <is>
          <t>1969-03-05 13:52:09.000</t>
        </is>
      </c>
      <c r="B53" s="8" t="n">
        <v>1969</v>
      </c>
      <c r="C53" s="9" t="n">
        <v>4.04</v>
      </c>
      <c r="D53" s="9" t="n">
        <v>128.11</v>
      </c>
      <c r="E53" s="8" t="n">
        <v>72</v>
      </c>
      <c r="F53" s="9" t="n">
        <v>5.5</v>
      </c>
      <c r="G53" s="9" t="n">
        <v>13</v>
      </c>
      <c r="H53" s="9" t="n">
        <v>5.8</v>
      </c>
      <c r="I53" s="9" t="n">
        <v>5.1</v>
      </c>
      <c r="J53" s="9" t="n">
        <v>0.9639178586914364</v>
      </c>
      <c r="K53" s="9" t="n">
        <v>5.573418220944607</v>
      </c>
      <c r="L53" s="9" t="n">
        <v>0.1826829498531562</v>
      </c>
      <c r="M53" s="9" t="n">
        <v>0.1106674373721572</v>
      </c>
      <c r="N53" s="9" t="n">
        <v>1.737177927613014</v>
      </c>
      <c r="O53" s="9" t="n">
        <v>9.732295227923689</v>
      </c>
      <c r="P53" s="9" t="n">
        <v>0.5933440173582989</v>
      </c>
      <c r="Q53" s="9" t="n">
        <v>0.2483072199985491</v>
      </c>
      <c r="R53" s="9" t="n">
        <v>0.0179531474696572</v>
      </c>
      <c r="S53" s="9" t="n">
        <v>0.1976405218914756</v>
      </c>
      <c r="T53" s="9" t="n">
        <v>229093518495.0179</v>
      </c>
      <c r="U53" s="9" t="n">
        <v>0.0012830583989571</v>
      </c>
      <c r="V53" s="9" t="n">
        <v>6.144212353327941e-06</v>
      </c>
      <c r="W53" s="9" t="n">
        <v>2.066540160580993</v>
      </c>
      <c r="X53" s="9" t="n">
        <v>8.160484565484351</v>
      </c>
      <c r="Y53" s="9" t="n">
        <v>110.282307592685</v>
      </c>
      <c r="Z53" s="9" t="n">
        <v>160.1827543396952</v>
      </c>
      <c r="AA53" s="9" t="n">
        <v>18.71946553093598</v>
      </c>
      <c r="AB53" s="9" t="n">
        <v>164.6277019570454</v>
      </c>
      <c r="AC53" s="9" t="n">
        <v>-3.905571714221369</v>
      </c>
      <c r="AD53" s="9" t="n">
        <v>7283.304212962963</v>
      </c>
      <c r="AE53" s="9" t="n">
        <v>7283.304212962963</v>
      </c>
      <c r="AF53" s="9" t="n">
        <v>7283.304212962963</v>
      </c>
      <c r="AG53" s="9" t="n">
        <v>43535.17270833333</v>
      </c>
      <c r="AH53" s="8" t="inlineStr">
        <is>
          <t>Moderate (5.0-5.9)</t>
        </is>
      </c>
    </row>
    <row r="54">
      <c r="A54" s="8" t="inlineStr">
        <is>
          <t>1969-03-05 16:11:16.000</t>
        </is>
      </c>
      <c r="B54" s="8" t="n">
        <v>1969</v>
      </c>
      <c r="C54" s="9" t="n">
        <v>3.98</v>
      </c>
      <c r="D54" s="9" t="n">
        <v>128.13</v>
      </c>
      <c r="E54" s="8" t="n">
        <v>81</v>
      </c>
      <c r="F54" s="9" t="n">
        <v>5.8</v>
      </c>
      <c r="G54" s="9" t="n">
        <v>14</v>
      </c>
      <c r="H54" s="9" t="n">
        <v>5.8</v>
      </c>
      <c r="I54" s="9" t="n">
        <v>5.128571428571428</v>
      </c>
      <c r="J54" s="9" t="n">
        <v>1.237424114159265</v>
      </c>
      <c r="K54" s="9" t="n">
        <v>7.164481915048333</v>
      </c>
      <c r="L54" s="9" t="n">
        <v>0.2963354039461874</v>
      </c>
      <c r="M54" s="9" t="n">
        <v>0.091219662380912</v>
      </c>
      <c r="N54" s="9" t="n">
        <v>1.628604307137195</v>
      </c>
      <c r="O54" s="9" t="n">
        <v>9.246893647497055</v>
      </c>
      <c r="P54" s="9" t="n">
        <v>0.5133074279107244</v>
      </c>
      <c r="Q54" s="9" t="n">
        <v>0.2126682056518439</v>
      </c>
      <c r="R54" s="9" t="n">
        <v>0.0101646209504737</v>
      </c>
      <c r="S54" s="9" t="n">
        <v>0.122197474872518</v>
      </c>
      <c r="T54" s="9" t="n">
        <v>245819288428.8569</v>
      </c>
      <c r="U54" s="9" t="n">
        <v>0.0001939669145652</v>
      </c>
      <c r="V54" s="9" t="n">
        <v>1.300729765406759e-05</v>
      </c>
      <c r="W54" s="9" t="n">
        <v>1.723454968864278</v>
      </c>
      <c r="X54" s="9" t="n">
        <v>8.781223270677607</v>
      </c>
      <c r="Y54" s="9" t="n">
        <v>104.641816818353</v>
      </c>
      <c r="Z54" s="9" t="n">
        <v>156.2155445167421</v>
      </c>
      <c r="AA54" s="9" t="n">
        <v>23.3196415479209</v>
      </c>
      <c r="AB54" s="9" t="n">
        <v>156.5331817845559</v>
      </c>
      <c r="AC54" s="9" t="n">
        <v>-4.440914013545573</v>
      </c>
      <c r="AD54" s="9" t="n">
        <v>7283.400821759262</v>
      </c>
      <c r="AE54" s="9" t="n">
        <v>7283.400821759262</v>
      </c>
      <c r="AF54" s="9" t="n">
        <v>7283.400821759262</v>
      </c>
      <c r="AG54" s="9" t="n">
        <v>43535.17270833333</v>
      </c>
      <c r="AH54" s="8" t="inlineStr">
        <is>
          <t>Moderate (5.0-5.9)</t>
        </is>
      </c>
    </row>
    <row r="55">
      <c r="A55" s="8" t="inlineStr">
        <is>
          <t>1969-03-06 01:06:02.000</t>
        </is>
      </c>
      <c r="B55" s="8" t="n">
        <v>1969</v>
      </c>
      <c r="C55" s="9" t="n">
        <v>4.15</v>
      </c>
      <c r="D55" s="9" t="n">
        <v>128.44</v>
      </c>
      <c r="E55" s="8" t="n">
        <v>46</v>
      </c>
      <c r="F55" s="9" t="n">
        <v>5.1</v>
      </c>
      <c r="G55" s="9" t="n">
        <v>15</v>
      </c>
      <c r="H55" s="9" t="n">
        <v>5.8</v>
      </c>
      <c r="I55" s="9" t="n">
        <v>5.173333333333333</v>
      </c>
      <c r="J55" s="9" t="n">
        <v>0.8425724503525329</v>
      </c>
      <c r="K55" s="9" t="n">
        <v>5.167071228374041</v>
      </c>
      <c r="L55" s="9" t="n">
        <v>0.147314697830339</v>
      </c>
      <c r="M55" s="9" t="n">
        <v>0.0628167420190938</v>
      </c>
      <c r="N55" s="9" t="n">
        <v>1.351138388143455</v>
      </c>
      <c r="O55" s="9" t="n">
        <v>7.871017658360222</v>
      </c>
      <c r="P55" s="9" t="n">
        <v>0.378818548738475</v>
      </c>
      <c r="Q55" s="9" t="n">
        <v>0.1847023281081607</v>
      </c>
      <c r="R55" s="9" t="n">
        <v>-0.3324948687939359</v>
      </c>
      <c r="S55" s="9" t="n">
        <v>-0.0254711193392056</v>
      </c>
      <c r="T55" s="9" t="n">
        <v>296596374888.5872</v>
      </c>
      <c r="U55" s="9" t="n">
        <v>0.0029667615987436</v>
      </c>
      <c r="V55" s="9" t="n">
        <v>8.842698865988017e-05</v>
      </c>
      <c r="W55" s="9" t="n">
        <v>1.016878829158858</v>
      </c>
      <c r="X55" s="9" t="n">
        <v>9.759537136356011</v>
      </c>
      <c r="Y55" s="9" t="n">
        <v>104.641816818353</v>
      </c>
      <c r="Z55" s="9" t="n">
        <v>153.2415359418474</v>
      </c>
      <c r="AA55" s="9" t="n">
        <v>25.25140241614698</v>
      </c>
      <c r="AB55" s="9" t="n">
        <v>144.1543675963001</v>
      </c>
      <c r="AC55" s="9" t="n">
        <v>-4.355436371899281</v>
      </c>
      <c r="AD55" s="9" t="n">
        <v>15844.69449074074</v>
      </c>
      <c r="AE55" s="9" t="n">
        <v>43535.17270833333</v>
      </c>
      <c r="AF55" s="9" t="n">
        <v>43535.17270833333</v>
      </c>
      <c r="AG55" s="9" t="n">
        <v>43535.17270833333</v>
      </c>
      <c r="AH55" s="8" t="inlineStr">
        <is>
          <t>Moderate (5.0-5.9)</t>
        </is>
      </c>
    </row>
    <row r="56">
      <c r="A56" s="8" t="inlineStr">
        <is>
          <t>1969-03-06 01:20:52.000</t>
        </is>
      </c>
      <c r="B56" s="8" t="n">
        <v>1969</v>
      </c>
      <c r="C56" s="9" t="n">
        <v>4</v>
      </c>
      <c r="D56" s="9" t="n">
        <v>128</v>
      </c>
      <c r="E56" s="8" t="n">
        <v>92</v>
      </c>
      <c r="F56" s="9" t="n">
        <v>5.1</v>
      </c>
      <c r="G56" s="9" t="n">
        <v>16</v>
      </c>
      <c r="H56" s="9" t="n">
        <v>5.8</v>
      </c>
      <c r="I56" s="9" t="n">
        <v>5.16875</v>
      </c>
      <c r="J56" s="9" t="n">
        <v>0.8425724503525329</v>
      </c>
      <c r="K56" s="9" t="n">
        <v>5.167071228374041</v>
      </c>
      <c r="L56" s="9" t="n">
        <v>0.1380033526824813</v>
      </c>
      <c r="M56" s="9" t="n">
        <v>0.0628167420190938</v>
      </c>
      <c r="N56" s="9" t="n">
        <v>1.351138388143455</v>
      </c>
      <c r="O56" s="9" t="n">
        <v>7.871017658360222</v>
      </c>
      <c r="P56" s="9" t="n">
        <v>0.3548745003328171</v>
      </c>
      <c r="Q56" s="9" t="n">
        <v>0.1703114632135851</v>
      </c>
      <c r="R56" s="9" t="n">
        <v>-0.3324948687939359</v>
      </c>
      <c r="S56" s="9" t="n">
        <v>-0.0254711193392056</v>
      </c>
      <c r="T56" s="9" t="n">
        <v>299137043586.1918</v>
      </c>
      <c r="U56" s="9" t="n">
        <v>0.0029667615987436</v>
      </c>
      <c r="V56" s="9" t="n">
        <v>8.842698865988017e-05</v>
      </c>
      <c r="W56" s="9" t="n">
        <v>0.8781140799175229</v>
      </c>
      <c r="X56" s="9" t="n">
        <v>9.869407610915244</v>
      </c>
      <c r="Y56" s="9" t="n">
        <v>104.641816818353</v>
      </c>
      <c r="Z56" s="9" t="n">
        <v>150.3348372726529</v>
      </c>
      <c r="AA56" s="9" t="n">
        <v>27.02418898269973</v>
      </c>
      <c r="AB56" s="9" t="n">
        <v>143.2574918800046</v>
      </c>
      <c r="AC56" s="9" t="n">
        <v>-4.389728814442102</v>
      </c>
      <c r="AD56" s="9" t="n">
        <v>7283.782488425926</v>
      </c>
      <c r="AE56" s="9" t="n">
        <v>7283.782488425926</v>
      </c>
      <c r="AF56" s="9" t="n">
        <v>7283.782488425926</v>
      </c>
      <c r="AG56" s="9" t="n">
        <v>43535.17270833333</v>
      </c>
      <c r="AH56" s="8" t="inlineStr">
        <is>
          <t>Moderate (5.0-5.9)</t>
        </is>
      </c>
    </row>
    <row r="57">
      <c r="A57" s="8" t="inlineStr">
        <is>
          <t>1969-03-06 01:46:37.800</t>
        </is>
      </c>
      <c r="B57" s="8" t="n">
        <v>1969</v>
      </c>
      <c r="C57" s="9" t="n">
        <v>4.01</v>
      </c>
      <c r="D57" s="9" t="n">
        <v>128.22</v>
      </c>
      <c r="E57" s="8" t="n">
        <v>82</v>
      </c>
      <c r="F57" s="9" t="n">
        <v>5</v>
      </c>
      <c r="G57" s="9" t="n">
        <v>17</v>
      </c>
      <c r="H57" s="9" t="n">
        <v>5.8</v>
      </c>
      <c r="I57" s="9" t="n">
        <v>5.164705882352941</v>
      </c>
      <c r="J57" s="9" t="n">
        <v>0.8425724503525329</v>
      </c>
      <c r="K57" s="9" t="n">
        <v>5.167071228374041</v>
      </c>
      <c r="L57" s="9" t="n">
        <v>0.1297996552119379</v>
      </c>
      <c r="M57" s="9" t="n">
        <v>0.0628167420190938</v>
      </c>
      <c r="N57" s="9" t="n">
        <v>1.351138388143455</v>
      </c>
      <c r="O57" s="9" t="n">
        <v>7.871017658360222</v>
      </c>
      <c r="P57" s="9" t="n">
        <v>0.333778758931237</v>
      </c>
      <c r="Q57" s="9" t="n">
        <v>0.1596026397827943</v>
      </c>
      <c r="R57" s="9" t="n">
        <v>-0.3324948687939359</v>
      </c>
      <c r="S57" s="9" t="n">
        <v>-0.0254711193392056</v>
      </c>
      <c r="T57" s="9" t="n">
        <v>301656314526.8535</v>
      </c>
      <c r="U57" s="9" t="n">
        <v>0.0029667615987436</v>
      </c>
      <c r="V57" s="9" t="n">
        <v>8.842698865988017e-05</v>
      </c>
      <c r="W57" s="9" t="n">
        <v>0.739235010999201</v>
      </c>
      <c r="X57" s="9" t="n">
        <v>10.7047293064884</v>
      </c>
      <c r="Y57" s="9" t="n">
        <v>104.641816818353</v>
      </c>
      <c r="Z57" s="9" t="n">
        <v>147.812869289992</v>
      </c>
      <c r="AA57" s="9" t="n">
        <v>28.15649300572613</v>
      </c>
      <c r="AB57" s="9" t="n">
        <v>142.4196194596844</v>
      </c>
      <c r="AC57" s="9" t="n">
        <v>-4.395162006602788</v>
      </c>
      <c r="AD57" s="9" t="n">
        <v>7283.800379629631</v>
      </c>
      <c r="AE57" s="9" t="n">
        <v>7283.800379629631</v>
      </c>
      <c r="AF57" s="9" t="n">
        <v>7283.800379629631</v>
      </c>
      <c r="AG57" s="9" t="n">
        <v>43535.17270833333</v>
      </c>
      <c r="AH57" s="8" t="inlineStr">
        <is>
          <t>Moderate (5.0-5.9)</t>
        </is>
      </c>
    </row>
    <row r="58">
      <c r="A58" s="8" t="inlineStr">
        <is>
          <t>1969-03-08 11:30:17.000</t>
        </is>
      </c>
      <c r="B58" s="8" t="n">
        <v>1969</v>
      </c>
      <c r="C58" s="9" t="n">
        <v>4</v>
      </c>
      <c r="D58" s="9" t="n">
        <v>128.3</v>
      </c>
      <c r="E58" s="8" t="n">
        <v>44</v>
      </c>
      <c r="F58" s="9" t="n">
        <v>5</v>
      </c>
      <c r="G58" s="9" t="n">
        <v>10</v>
      </c>
      <c r="H58" s="9" t="n">
        <v>5.8</v>
      </c>
      <c r="I58" s="9" t="n">
        <v>5.08</v>
      </c>
      <c r="J58" s="9" t="n">
        <v>0.788411893405665</v>
      </c>
      <c r="K58" s="9" t="n">
        <v>4.52261731580886</v>
      </c>
      <c r="L58" s="9" t="n">
        <v>0.1503981813586224</v>
      </c>
      <c r="M58" s="9" t="n">
        <v>0.0895205581133065</v>
      </c>
      <c r="N58" s="9" t="n">
        <v>1.33629071354847</v>
      </c>
      <c r="O58" s="9" t="n">
        <v>7.41714263042516</v>
      </c>
      <c r="P58" s="9" t="n">
        <v>0.4320541202967986</v>
      </c>
      <c r="Q58" s="9" t="n">
        <v>0.1575352045847101</v>
      </c>
      <c r="R58" s="9" t="n">
        <v>0.06363636363636339</v>
      </c>
      <c r="S58" s="9" t="n">
        <v>0.2494543326360361</v>
      </c>
      <c r="T58" s="9" t="n">
        <v>206298322232.7916</v>
      </c>
      <c r="U58" s="9" t="n">
        <v>0.0043128496627883</v>
      </c>
      <c r="V58" s="9" t="n">
        <v>9.797783966128732e-05</v>
      </c>
      <c r="W58" s="9" t="n">
        <v>-0.324442842261525</v>
      </c>
      <c r="X58" s="9" t="n">
        <v>5.618030217543021</v>
      </c>
      <c r="Y58" s="9" t="n">
        <v>93.73148126728231</v>
      </c>
      <c r="Z58" s="9" t="n">
        <v>123.5369490131209</v>
      </c>
      <c r="AA58" s="9" t="n">
        <v>28.25977054940029</v>
      </c>
      <c r="AB58" s="9" t="n">
        <v>113.4215780662573</v>
      </c>
      <c r="AC58" s="9" t="n">
        <v>-5.713352813612625</v>
      </c>
      <c r="AD58" s="9" t="n">
        <v>15847.12799768519</v>
      </c>
      <c r="AE58" s="9" t="n">
        <v>43535.17270833333</v>
      </c>
      <c r="AF58" s="9" t="n">
        <v>43535.17270833333</v>
      </c>
      <c r="AG58" s="9" t="n">
        <v>43535.17270833333</v>
      </c>
      <c r="AH58" s="8" t="inlineStr">
        <is>
          <t>Moderate (5.0-5.9)</t>
        </is>
      </c>
    </row>
    <row r="59">
      <c r="A59" s="8" t="inlineStr">
        <is>
          <t>1969-03-21 10:23:53.000</t>
        </is>
      </c>
      <c r="B59" s="8" t="n">
        <v>1969</v>
      </c>
      <c r="C59" s="9" t="n">
        <v>8.539999999999999</v>
      </c>
      <c r="D59" s="9" t="n">
        <v>127.41</v>
      </c>
      <c r="E59" s="8" t="n">
        <v>29</v>
      </c>
      <c r="F59" s="9" t="n">
        <v>5.2</v>
      </c>
      <c r="G59" s="9" t="n">
        <v>3</v>
      </c>
      <c r="H59" s="9" t="n">
        <v>6.1</v>
      </c>
      <c r="I59" s="9" t="n">
        <v>5.566666666666666</v>
      </c>
      <c r="J59" s="9" t="n">
        <v>0.4905369300216476</v>
      </c>
      <c r="K59" s="9" t="n">
        <v>2.899846920609918</v>
      </c>
      <c r="L59" s="9" t="n">
        <v>0.1608261979267444</v>
      </c>
      <c r="M59" s="9" t="n">
        <v>0.08274702250559431</v>
      </c>
      <c r="N59" s="9" t="n">
        <v>0.8405699649740359</v>
      </c>
      <c r="O59" s="9" t="n">
        <v>4.764028076087246</v>
      </c>
      <c r="P59" s="9" t="n">
        <v>0.4722381981451846</v>
      </c>
      <c r="Q59" s="9" t="n">
        <v>0.1683329560161122</v>
      </c>
      <c r="R59" s="9" t="n">
        <v>0.1884228217395458</v>
      </c>
      <c r="S59" s="9" t="n">
        <v>0.4323836508548098</v>
      </c>
      <c r="T59" s="9" t="n">
        <v>323969292059.9459</v>
      </c>
      <c r="U59" s="9" t="n">
        <v>0.0337589717320293</v>
      </c>
      <c r="V59" s="9" t="n">
        <v>0.003008085007255</v>
      </c>
      <c r="W59" s="9" t="n">
        <v>-1</v>
      </c>
      <c r="X59" s="9" t="n">
        <v>7.410849195313975</v>
      </c>
      <c r="Y59" s="9" t="n">
        <v>20.1240723412438</v>
      </c>
      <c r="Z59" s="9" t="n">
        <v>27.662494085755</v>
      </c>
      <c r="AA59" s="9" t="n">
        <v>7.660271797822062</v>
      </c>
      <c r="AB59" s="9" t="n">
        <v>28.09659608048685</v>
      </c>
      <c r="AC59" s="9" t="n">
        <v>37.82852563791421</v>
      </c>
      <c r="AD59" s="9" t="n">
        <v>0.7534201388916699</v>
      </c>
      <c r="AE59" s="9" t="n">
        <v>11542.59811342593</v>
      </c>
      <c r="AF59" s="9" t="n">
        <v>17296.65815972222</v>
      </c>
      <c r="AG59" s="9" t="n">
        <v>17296.65815972222</v>
      </c>
      <c r="AH59" s="8" t="inlineStr">
        <is>
          <t>Moderate (5.0-5.9)</t>
        </is>
      </c>
    </row>
    <row r="60">
      <c r="A60" s="8" t="inlineStr">
        <is>
          <t>1969-03-26 19:30:52.000</t>
        </is>
      </c>
      <c r="B60" s="8" t="n">
        <v>1969</v>
      </c>
      <c r="C60" s="9" t="n">
        <v>8.800000000000001</v>
      </c>
      <c r="D60" s="9" t="n">
        <v>127.5</v>
      </c>
      <c r="E60" s="8" t="n">
        <v>7</v>
      </c>
      <c r="F60" s="9" t="n">
        <v>5</v>
      </c>
      <c r="G60" s="9" t="n">
        <v>4</v>
      </c>
      <c r="H60" s="9" t="n">
        <v>6.1</v>
      </c>
      <c r="I60" s="9" t="n">
        <v>5.475</v>
      </c>
      <c r="J60" s="9" t="n">
        <v>0.6113604499547589</v>
      </c>
      <c r="K60" s="9" t="n">
        <v>3.603824995477521</v>
      </c>
      <c r="L60" s="9" t="n">
        <v>0.193421627880398</v>
      </c>
      <c r="M60" s="9" t="n">
        <v>0.0967585795353261</v>
      </c>
      <c r="N60" s="9" t="n">
        <v>1.021869369184122</v>
      </c>
      <c r="O60" s="9" t="n">
        <v>5.813593774166986</v>
      </c>
      <c r="P60" s="9" t="n">
        <v>0.5403823014727211</v>
      </c>
      <c r="Q60" s="9" t="n">
        <v>0.1850611025928922</v>
      </c>
      <c r="R60" s="9" t="n">
        <v>0.2052369420622373</v>
      </c>
      <c r="S60" s="9" t="n">
        <v>0.4108248965240468</v>
      </c>
      <c r="T60" s="9" t="n">
        <v>327485831526.4805</v>
      </c>
      <c r="U60" s="9" t="n">
        <v>0.0146527334759352</v>
      </c>
      <c r="V60" s="9" t="n">
        <v>0.0008597890156869</v>
      </c>
      <c r="W60" s="9" t="n">
        <v>-1.549193338482966</v>
      </c>
      <c r="X60" s="9" t="n">
        <v>10.01427552475536</v>
      </c>
      <c r="Y60" s="9" t="n">
        <v>20.1240723412438</v>
      </c>
      <c r="Z60" s="9" t="n">
        <v>28.2452708315935</v>
      </c>
      <c r="AA60" s="9" t="n">
        <v>6.36226041746426</v>
      </c>
      <c r="AB60" s="9" t="n">
        <v>28.16708123336826</v>
      </c>
      <c r="AC60" s="9" t="n">
        <v>8.908134235337824</v>
      </c>
      <c r="AD60" s="9" t="n">
        <v>6.133269675927295</v>
      </c>
      <c r="AE60" s="9" t="n">
        <v>11547.97796296296</v>
      </c>
      <c r="AF60" s="9" t="n">
        <v>43535.17270833333</v>
      </c>
      <c r="AG60" s="9" t="n">
        <v>43535.17270833333</v>
      </c>
      <c r="AH60" s="8" t="inlineStr">
        <is>
          <t>Moderate (5.0-5.9)</t>
        </is>
      </c>
    </row>
    <row r="61">
      <c r="A61" s="8" t="inlineStr">
        <is>
          <t>1969-03-30 07:55:12.300</t>
        </is>
      </c>
      <c r="B61" s="8" t="n">
        <v>1969</v>
      </c>
      <c r="C61" s="9" t="n">
        <v>4.42</v>
      </c>
      <c r="D61" s="9" t="n">
        <v>128.06</v>
      </c>
      <c r="E61" s="8" t="n">
        <v>76</v>
      </c>
      <c r="F61" s="9" t="n">
        <v>5.2</v>
      </c>
      <c r="G61" s="9" t="n">
        <v>3</v>
      </c>
      <c r="H61" s="9" t="n">
        <v>5.8</v>
      </c>
      <c r="I61" s="9" t="n">
        <v>5.466666666666666</v>
      </c>
      <c r="J61" s="9" t="n">
        <v>0.4685958343117649</v>
      </c>
      <c r="K61" s="9" t="n">
        <v>2.784117641806148</v>
      </c>
      <c r="L61" s="9" t="n">
        <v>0.1213962021492693</v>
      </c>
      <c r="M61" s="9" t="n">
        <v>0.0868446705597495</v>
      </c>
      <c r="N61" s="9" t="n">
        <v>0.8405699649740374</v>
      </c>
      <c r="O61" s="9" t="n">
        <v>4.679971079589849</v>
      </c>
      <c r="P61" s="9" t="n">
        <v>0.3906213609673936</v>
      </c>
      <c r="Q61" s="9" t="n">
        <v>0.179542241393479</v>
      </c>
      <c r="R61" s="9" t="n">
        <v>-0.1414050188799294</v>
      </c>
      <c r="S61" s="9" t="n">
        <v>0.2323836508548105</v>
      </c>
      <c r="T61" s="9" t="n">
        <v>201407376676.1174</v>
      </c>
      <c r="U61" s="9" t="n">
        <v>0.0392837100659194</v>
      </c>
      <c r="V61" s="9" t="n">
        <v>0.0030080850072549</v>
      </c>
      <c r="W61" s="9" t="n">
        <v>-2.121320343559642</v>
      </c>
      <c r="X61" s="9" t="n">
        <v>0.6251502945795441</v>
      </c>
      <c r="Y61" s="9" t="n">
        <v>35.9923031791383</v>
      </c>
      <c r="Z61" s="9" t="n">
        <v>71.8365877791107</v>
      </c>
      <c r="AA61" s="9" t="n">
        <v>57.20621578463857</v>
      </c>
      <c r="AB61" s="9" t="n">
        <v>72.2675804472678</v>
      </c>
      <c r="AC61" s="9" t="n">
        <v>-20.87858584117762</v>
      </c>
      <c r="AD61" s="9" t="n">
        <v>54.42602893518415</v>
      </c>
      <c r="AE61" s="9" t="n">
        <v>12051.24007291667</v>
      </c>
      <c r="AF61" s="9" t="n">
        <v>12051.24007291667</v>
      </c>
      <c r="AG61" s="9" t="n">
        <v>12051.24007291667</v>
      </c>
      <c r="AH61" s="8" t="inlineStr">
        <is>
          <t>Moderate (5.0-5.9)</t>
        </is>
      </c>
    </row>
    <row r="62">
      <c r="A62" s="8" t="inlineStr">
        <is>
          <t>1969-03-30 20:57:03.100</t>
        </is>
      </c>
      <c r="B62" s="8" t="n">
        <v>1969</v>
      </c>
      <c r="C62" s="9" t="n">
        <v>4.66</v>
      </c>
      <c r="D62" s="9" t="n">
        <v>127.52</v>
      </c>
      <c r="E62" s="8" t="n">
        <v>97</v>
      </c>
      <c r="F62" s="9" t="n">
        <v>5.1</v>
      </c>
      <c r="G62" s="9" t="n">
        <v>3</v>
      </c>
      <c r="H62" s="9" t="n">
        <v>5.8</v>
      </c>
      <c r="I62" s="9" t="n">
        <v>5.333333333333333</v>
      </c>
      <c r="J62" s="9" t="n">
        <v>0.5689391661997585</v>
      </c>
      <c r="K62" s="9" t="n">
        <v>3.192180524817321</v>
      </c>
      <c r="L62" s="9" t="n">
        <v>0.1789533847146706</v>
      </c>
      <c r="M62" s="9" t="n">
        <v>0.1032376928784222</v>
      </c>
      <c r="N62" s="9" t="n">
        <v>1.132942126704137</v>
      </c>
      <c r="O62" s="9" t="n">
        <v>6.141831888240346</v>
      </c>
      <c r="P62" s="9" t="n">
        <v>0.7096164988462471</v>
      </c>
      <c r="Q62" s="9" t="n">
        <v>0.2118391647714606</v>
      </c>
      <c r="R62" s="9" t="n">
        <v>0.1892410393547692</v>
      </c>
      <c r="S62" s="9" t="n">
        <v>0.3788652893438913</v>
      </c>
      <c r="T62" s="9" t="n">
        <v>175593720520.2662</v>
      </c>
      <c r="U62" s="9" t="n">
        <v>0.0196418550329597</v>
      </c>
      <c r="V62" s="9" t="n">
        <v>0.0003991844542591</v>
      </c>
      <c r="W62" s="9" t="n">
        <v>-1.441153384245784</v>
      </c>
      <c r="X62" s="9" t="n">
        <v>1.693569549735328</v>
      </c>
      <c r="Y62" s="9" t="n">
        <v>35.9923031791383</v>
      </c>
      <c r="Z62" s="9" t="n">
        <v>46.64209206440864</v>
      </c>
      <c r="AA62" s="9" t="n">
        <v>13.79583340766805</v>
      </c>
      <c r="AB62" s="9" t="n">
        <v>43.57664491991653</v>
      </c>
      <c r="AC62" s="9" t="n">
        <v>2.734601274671787</v>
      </c>
      <c r="AD62" s="9" t="n">
        <v>54.96897800925944</v>
      </c>
      <c r="AE62" s="9" t="n">
        <v>4205.52497800926</v>
      </c>
      <c r="AF62" s="9" t="n">
        <v>4205.52497800926</v>
      </c>
      <c r="AG62" s="9" t="n">
        <v>4205.52497800926</v>
      </c>
      <c r="AH62" s="8" t="inlineStr">
        <is>
          <t>Moderate (5.0-5.9)</t>
        </is>
      </c>
    </row>
    <row r="63">
      <c r="A63" s="8" t="inlineStr">
        <is>
          <t>1969-04-03 19:20:45.000</t>
        </is>
      </c>
      <c r="B63" s="8" t="n">
        <v>1969</v>
      </c>
      <c r="C63" s="9" t="n">
        <v>3.9</v>
      </c>
      <c r="D63" s="9" t="n">
        <v>128.1</v>
      </c>
      <c r="E63" s="8" t="n">
        <v>65</v>
      </c>
      <c r="F63" s="9" t="n">
        <v>5</v>
      </c>
      <c r="G63" s="9" t="n">
        <v>3</v>
      </c>
      <c r="H63" s="9" t="n">
        <v>5.6</v>
      </c>
      <c r="I63" s="9" t="n">
        <v>5.266666666666667</v>
      </c>
      <c r="J63" s="9" t="n">
        <v>0.8337334825539049</v>
      </c>
      <c r="K63" s="9" t="n">
        <v>4.572956206971072</v>
      </c>
      <c r="L63" s="9" t="n">
        <v>0.2819941396631974</v>
      </c>
      <c r="M63" s="9" t="n">
        <v>0.0893267033479696</v>
      </c>
      <c r="N63" s="9" t="n">
        <v>1.371456258641849</v>
      </c>
      <c r="O63" s="9" t="n">
        <v>7.334402547928907</v>
      </c>
      <c r="P63" s="9" t="n">
        <v>0.7630438887732093</v>
      </c>
      <c r="Q63" s="9" t="n">
        <v>0.1749489297310582</v>
      </c>
      <c r="R63" s="9" t="n">
        <v>0.1150862923687263</v>
      </c>
      <c r="S63" s="9" t="n">
        <v>0.2521061085884319</v>
      </c>
      <c r="T63" s="9" t="n">
        <v>123747775733.3113</v>
      </c>
      <c r="U63" s="9" t="n">
        <v>0.0031535487739365</v>
      </c>
      <c r="V63" s="9" t="n">
        <v>7.684776196487846e-05</v>
      </c>
      <c r="W63" s="9" t="n">
        <v>-0.4472135954999578</v>
      </c>
      <c r="X63" s="9" t="n">
        <v>0.4696204270933551</v>
      </c>
      <c r="Y63" s="9" t="n">
        <v>35.9923031791383</v>
      </c>
      <c r="Z63" s="9" t="n">
        <v>78.6763901458627</v>
      </c>
      <c r="AA63" s="9" t="n">
        <v>52.86458495394612</v>
      </c>
      <c r="AB63" s="9" t="n">
        <v>114.7150795117805</v>
      </c>
      <c r="AC63" s="9" t="n">
        <v>-28.40405127402802</v>
      </c>
      <c r="AD63" s="9" t="n">
        <v>7312.532407407407</v>
      </c>
      <c r="AE63" s="9" t="n">
        <v>7312.532407407407</v>
      </c>
      <c r="AF63" s="9" t="n">
        <v>7312.532407407407</v>
      </c>
      <c r="AG63" s="9" t="n">
        <v>43535.17270833333</v>
      </c>
      <c r="AH63" s="8" t="inlineStr">
        <is>
          <t>Moderate (5.0-5.9)</t>
        </is>
      </c>
    </row>
    <row r="64">
      <c r="A64" s="8" t="inlineStr">
        <is>
          <t>1969-04-07 03:39:48.300</t>
        </is>
      </c>
      <c r="B64" s="8" t="n">
        <v>1969</v>
      </c>
      <c r="C64" s="9" t="n">
        <v>4.23</v>
      </c>
      <c r="D64" s="9" t="n">
        <v>127.87</v>
      </c>
      <c r="E64" s="8" t="n">
        <v>79</v>
      </c>
      <c r="F64" s="9" t="n">
        <v>5.3</v>
      </c>
      <c r="G64" s="9" t="n">
        <v>7</v>
      </c>
      <c r="H64" s="9" t="n">
        <v>5.8</v>
      </c>
      <c r="I64" s="9" t="n">
        <v>5.271428571428571</v>
      </c>
      <c r="J64" s="9" t="n">
        <v>0.8600857018970904</v>
      </c>
      <c r="K64" s="9" t="n">
        <v>4.988497071003124</v>
      </c>
      <c r="L64" s="9" t="n">
        <v>0.1989530738069242</v>
      </c>
      <c r="M64" s="9" t="n">
        <v>0.09289987354005259</v>
      </c>
      <c r="N64" s="9" t="n">
        <v>1.447648273010844</v>
      </c>
      <c r="O64" s="9" t="n">
        <v>8.129831010984354</v>
      </c>
      <c r="P64" s="9" t="n">
        <v>0.5636289741215331</v>
      </c>
      <c r="Q64" s="9" t="n">
        <v>0.1619901756516747</v>
      </c>
      <c r="R64" s="9" t="n">
        <v>0</v>
      </c>
      <c r="S64" s="9" t="n">
        <v>0.1841116916640333</v>
      </c>
      <c r="T64" s="9" t="n">
        <v>218312225799.4895</v>
      </c>
      <c r="U64" s="9" t="n">
        <v>0.002628711313735</v>
      </c>
      <c r="V64" s="9" t="n">
        <v>4.539992976248326e-05</v>
      </c>
      <c r="W64" s="9" t="n">
        <v>0.8429272304235247</v>
      </c>
      <c r="X64" s="9" t="n">
        <v>3.106860975292946</v>
      </c>
      <c r="Y64" s="9" t="n">
        <v>35.9923031791383</v>
      </c>
      <c r="Z64" s="9" t="n">
        <v>89.69987182680302</v>
      </c>
      <c r="AA64" s="9" t="n">
        <v>53.5377867372668</v>
      </c>
      <c r="AB64" s="9" t="n">
        <v>78.92208980804699</v>
      </c>
      <c r="AC64" s="9" t="n">
        <v>8.595498984171924</v>
      </c>
      <c r="AD64" s="9" t="n">
        <v>62.2486678240748</v>
      </c>
      <c r="AE64" s="9" t="n">
        <v>7315.878973379631</v>
      </c>
      <c r="AF64" s="9" t="n">
        <v>7315.878973379631</v>
      </c>
      <c r="AG64" s="9" t="n">
        <v>12059.06271180556</v>
      </c>
      <c r="AH64" s="8" t="inlineStr">
        <is>
          <t>Moderate (5.0-5.9)</t>
        </is>
      </c>
    </row>
    <row r="65">
      <c r="A65" s="8" t="inlineStr">
        <is>
          <t>1969-05-28 03:41:05.000</t>
        </is>
      </c>
      <c r="B65" s="8" t="n">
        <v>1969</v>
      </c>
      <c r="C65" s="9" t="n">
        <v>11.79</v>
      </c>
      <c r="D65" s="9" t="n">
        <v>125.83</v>
      </c>
      <c r="E65" s="8" t="n">
        <v>25</v>
      </c>
      <c r="F65" s="9" t="n">
        <v>5.3</v>
      </c>
      <c r="G65" s="9" t="n">
        <v>4</v>
      </c>
      <c r="H65" s="9" t="n">
        <v>5.2</v>
      </c>
      <c r="I65" s="9" t="n">
        <v>5.025</v>
      </c>
      <c r="J65" s="9" t="n">
        <v>0.7781512503836432</v>
      </c>
      <c r="K65" s="9" t="n">
        <v>4.287210498526129</v>
      </c>
      <c r="L65" s="9" t="n">
        <v>0.1435556680880088</v>
      </c>
      <c r="M65" s="9" t="n">
        <v>0.0623424306088072</v>
      </c>
      <c r="N65" s="9" t="n">
        <v>1.579252661466368</v>
      </c>
      <c r="O65" s="9" t="n">
        <v>8.18247276636653</v>
      </c>
      <c r="P65" s="9" t="n">
        <v>0.5912832008970307</v>
      </c>
      <c r="Q65" s="9" t="n">
        <v>0.1818970133474116</v>
      </c>
      <c r="R65" s="9" t="n">
        <v>-0.309482245787632</v>
      </c>
      <c r="S65" s="9" t="n">
        <v>0.0187690506920299</v>
      </c>
      <c r="T65" s="9" t="n">
        <v>75358772454.06351</v>
      </c>
      <c r="U65" s="9" t="n">
        <v>0.0046296296296296</v>
      </c>
      <c r="V65" s="9" t="n">
        <v>1.829119229940784e-05</v>
      </c>
      <c r="W65" s="9" t="n">
        <v>-0.6324555320336758</v>
      </c>
      <c r="X65" s="9" t="n">
        <v>8.01355519627422</v>
      </c>
      <c r="Y65" s="9" t="n">
        <v>24.1860185538147</v>
      </c>
      <c r="Z65" s="9" t="n">
        <v>41.70129045184196</v>
      </c>
      <c r="AA65" s="9" t="n">
        <v>12.14759816683992</v>
      </c>
      <c r="AB65" s="9" t="n">
        <v>44.11974697670891</v>
      </c>
      <c r="AC65" s="9" t="n">
        <v>-0.869337596428047</v>
      </c>
      <c r="AD65" s="9" t="n">
        <v>9803.887800925924</v>
      </c>
      <c r="AE65" s="9" t="n">
        <v>9803.887800925924</v>
      </c>
      <c r="AF65" s="9" t="n">
        <v>43535.17270833333</v>
      </c>
      <c r="AG65" s="9" t="n">
        <v>43535.17270833333</v>
      </c>
      <c r="AH65" s="8" t="inlineStr">
        <is>
          <t>Moderate (5.0-5.9)</t>
        </is>
      </c>
    </row>
    <row r="66">
      <c r="A66" s="8" t="inlineStr">
        <is>
          <t>1970-01-10 13:59:40.600</t>
        </is>
      </c>
      <c r="B66" s="8" t="n">
        <v>1970</v>
      </c>
      <c r="C66" s="9" t="n">
        <v>6.74</v>
      </c>
      <c r="D66" s="9" t="n">
        <v>126.86</v>
      </c>
      <c r="E66" s="8" t="n">
        <v>88</v>
      </c>
      <c r="F66" s="9" t="n">
        <v>5.4</v>
      </c>
      <c r="G66" s="9" t="n">
        <v>4</v>
      </c>
      <c r="H66" s="9" t="n">
        <v>5.9</v>
      </c>
      <c r="I66" s="9" t="n">
        <v>5.075</v>
      </c>
      <c r="J66" s="9" t="n">
        <v>0.4662570046317675</v>
      </c>
      <c r="K66" s="9" t="n">
        <v>2.625581464869493</v>
      </c>
      <c r="L66" s="9" t="n">
        <v>0.1559611382927499</v>
      </c>
      <c r="M66" s="9" t="n">
        <v>0.09571115408131541</v>
      </c>
      <c r="N66" s="9" t="n">
        <v>0.5990268715906925</v>
      </c>
      <c r="O66" s="9" t="n">
        <v>3.23777822632701</v>
      </c>
      <c r="P66" s="9" t="n">
        <v>0.2574294726746398</v>
      </c>
      <c r="Q66" s="9" t="n">
        <v>0.1364540956305467</v>
      </c>
      <c r="R66" s="9" t="n">
        <v>0.268810679974492</v>
      </c>
      <c r="S66" s="9" t="n">
        <v>0.4949365881880796</v>
      </c>
      <c r="T66" s="9" t="n">
        <v>209629123502.8845</v>
      </c>
      <c r="U66" s="9" t="n">
        <v>0.039923534770347</v>
      </c>
      <c r="V66" s="9" t="n">
        <v>0.0159558294385509</v>
      </c>
      <c r="W66" s="9" t="n">
        <v>-0.9999999999999998</v>
      </c>
      <c r="X66" s="9" t="n">
        <v>6.798722616979547</v>
      </c>
      <c r="Y66" s="9" t="n">
        <v>18.3545536933303</v>
      </c>
      <c r="Z66" s="9" t="n">
        <v>38.51836934125895</v>
      </c>
      <c r="AA66" s="9" t="n">
        <v>16.21419871253697</v>
      </c>
      <c r="AB66" s="9" t="n">
        <v>20.31526899120884</v>
      </c>
      <c r="AC66" s="9" t="n">
        <v>423.1723776184043</v>
      </c>
      <c r="AD66" s="9" t="n">
        <v>3170.150539351853</v>
      </c>
      <c r="AE66" s="9" t="n">
        <v>10435.10603703704</v>
      </c>
      <c r="AF66" s="9" t="n">
        <v>12241.79476388889</v>
      </c>
      <c r="AG66" s="9" t="n">
        <v>16706.90046990741</v>
      </c>
      <c r="AH66" s="8" t="inlineStr">
        <is>
          <t>Moderate (5.0-5.9)</t>
        </is>
      </c>
    </row>
    <row r="67">
      <c r="A67" s="8" t="inlineStr">
        <is>
          <t>1970-01-10 14:16:31.300</t>
        </is>
      </c>
      <c r="B67" s="8" t="n">
        <v>1970</v>
      </c>
      <c r="C67" s="9" t="n">
        <v>6.71</v>
      </c>
      <c r="D67" s="9" t="n">
        <v>126.84</v>
      </c>
      <c r="E67" s="8" t="n">
        <v>81</v>
      </c>
      <c r="F67" s="9" t="n">
        <v>5.5</v>
      </c>
      <c r="G67" s="9" t="n">
        <v>5</v>
      </c>
      <c r="H67" s="9" t="n">
        <v>5.9</v>
      </c>
      <c r="I67" s="9" t="n">
        <v>5.140000000000001</v>
      </c>
      <c r="J67" s="9" t="n">
        <v>0.5933248286567874</v>
      </c>
      <c r="K67" s="9" t="n">
        <v>3.419639097715498</v>
      </c>
      <c r="L67" s="9" t="n">
        <v>0.2025816236523536</v>
      </c>
      <c r="M67" s="9" t="n">
        <v>0.07672264611119579</v>
      </c>
      <c r="N67" s="9" t="n">
        <v>0.5603799766493576</v>
      </c>
      <c r="O67" s="9" t="n">
        <v>3.179807883915008</v>
      </c>
      <c r="P67" s="9" t="n">
        <v>0.1807091820778142</v>
      </c>
      <c r="Q67" s="9" t="n">
        <v>0.0983076622214709</v>
      </c>
      <c r="R67" s="9" t="n">
        <v>0.1364807057592214</v>
      </c>
      <c r="S67" s="9" t="n">
        <v>0.2256218701320849</v>
      </c>
      <c r="T67" s="9" t="n">
        <v>221793696986.8291</v>
      </c>
      <c r="U67" s="9" t="n">
        <v>0.0165968440808542</v>
      </c>
      <c r="V67" s="9" t="n">
        <v>0.0208381936704526</v>
      </c>
      <c r="W67" s="9" t="n">
        <v>-1</v>
      </c>
      <c r="X67" s="9" t="n">
        <v>8.078943075289343</v>
      </c>
      <c r="Y67" s="9" t="n">
        <v>18.3545536933303</v>
      </c>
      <c r="Z67" s="9" t="n">
        <v>40.43502775838407</v>
      </c>
      <c r="AA67" s="9" t="n">
        <v>14.6813854031869</v>
      </c>
      <c r="AB67" s="9" t="n">
        <v>24.1811064584232</v>
      </c>
      <c r="AC67" s="9" t="n">
        <v>334.2865754966806</v>
      </c>
      <c r="AD67" s="9" t="n">
        <v>3170.16223726852</v>
      </c>
      <c r="AE67" s="9" t="n">
        <v>5220.803579861109</v>
      </c>
      <c r="AF67" s="9" t="n">
        <v>12241.80646180556</v>
      </c>
      <c r="AG67" s="9" t="n">
        <v>16706.91216782407</v>
      </c>
      <c r="AH67" s="8" t="inlineStr">
        <is>
          <t>Moderate (5.0-5.9)</t>
        </is>
      </c>
    </row>
    <row r="68">
      <c r="A68" s="8" t="inlineStr">
        <is>
          <t>1970-01-10 15:12:19.000</t>
        </is>
      </c>
      <c r="B68" s="8" t="n">
        <v>1970</v>
      </c>
      <c r="C68" s="9" t="n">
        <v>6.8</v>
      </c>
      <c r="D68" s="9" t="n">
        <v>126.7</v>
      </c>
      <c r="E68" s="8" t="n">
        <v>47</v>
      </c>
      <c r="F68" s="9" t="n">
        <v>5.1</v>
      </c>
      <c r="G68" s="9" t="n">
        <v>7</v>
      </c>
      <c r="H68" s="9" t="n">
        <v>5.9</v>
      </c>
      <c r="I68" s="9" t="n">
        <v>5.157142857142857</v>
      </c>
      <c r="J68" s="9" t="n">
        <v>0.8784945822716367</v>
      </c>
      <c r="K68" s="9" t="n">
        <v>5.091103952621883</v>
      </c>
      <c r="L68" s="9" t="n">
        <v>0.3283457023061224</v>
      </c>
      <c r="M68" s="9" t="n">
        <v>0.0918275281717572</v>
      </c>
      <c r="N68" s="9" t="n">
        <v>1.021869369184124</v>
      </c>
      <c r="O68" s="9" t="n">
        <v>5.813593774166998</v>
      </c>
      <c r="P68" s="9" t="n">
        <v>0.4442668654577238</v>
      </c>
      <c r="Q68" s="9" t="n">
        <v>0.2202467807650877</v>
      </c>
      <c r="R68" s="9" t="n">
        <v>0.1047406377200879</v>
      </c>
      <c r="S68" s="9" t="n">
        <v>0.2108248965240475</v>
      </c>
      <c r="T68" s="9" t="n">
        <v>240408859691.85</v>
      </c>
      <c r="U68" s="9" t="n">
        <v>0.0023148148148148</v>
      </c>
      <c r="V68" s="9" t="n">
        <v>0.0008597890156869</v>
      </c>
      <c r="W68" s="9" t="n">
        <v>-1</v>
      </c>
      <c r="X68" s="9" t="n">
        <v>10.32709664663429</v>
      </c>
      <c r="Y68" s="9" t="n">
        <v>18.3545536933303</v>
      </c>
      <c r="Z68" s="9" t="n">
        <v>41.47844841572769</v>
      </c>
      <c r="AA68" s="9" t="n">
        <v>12.12129628886746</v>
      </c>
      <c r="AB68" s="9" t="n">
        <v>27.84469348476885</v>
      </c>
      <c r="AC68" s="9" t="n">
        <v>162.5569497018342</v>
      </c>
      <c r="AD68" s="9" t="n">
        <v>3170.200983796298</v>
      </c>
      <c r="AE68" s="9" t="n">
        <v>10435.15648148148</v>
      </c>
      <c r="AF68" s="9" t="n">
        <v>12241.84520833333</v>
      </c>
      <c r="AG68" s="9" t="n">
        <v>16706.95091435185</v>
      </c>
      <c r="AH68" s="8" t="inlineStr">
        <is>
          <t>Moderate (5.0-5.9)</t>
        </is>
      </c>
    </row>
    <row r="69">
      <c r="A69" s="8" t="inlineStr">
        <is>
          <t>1970-01-10 16:30:49.000</t>
        </is>
      </c>
      <c r="B69" s="8" t="n">
        <v>1970</v>
      </c>
      <c r="C69" s="9" t="n">
        <v>7.04</v>
      </c>
      <c r="D69" s="9" t="n">
        <v>126.77</v>
      </c>
      <c r="E69" s="8" t="n">
        <v>36</v>
      </c>
      <c r="F69" s="9" t="n">
        <v>5</v>
      </c>
      <c r="G69" s="9" t="n">
        <v>9</v>
      </c>
      <c r="H69" s="9" t="n">
        <v>5.9</v>
      </c>
      <c r="I69" s="9" t="n">
        <v>5.111111111111111</v>
      </c>
      <c r="J69" s="9" t="n">
        <v>0.9431012576103408</v>
      </c>
      <c r="K69" s="9" t="n">
        <v>5.457208446207873</v>
      </c>
      <c r="L69" s="9" t="n">
        <v>0.3000463637391121</v>
      </c>
      <c r="M69" s="9" t="n">
        <v>0.09461208419572389</v>
      </c>
      <c r="N69" s="9" t="n">
        <v>1.240841376866435</v>
      </c>
      <c r="O69" s="9" t="n">
        <v>7.027261026354838</v>
      </c>
      <c r="P69" s="9" t="n">
        <v>0.519402760971577</v>
      </c>
      <c r="Q69" s="9" t="n">
        <v>0.2764991319723179</v>
      </c>
      <c r="R69" s="9" t="n">
        <v>0.1135498153872509</v>
      </c>
      <c r="S69" s="9" t="n">
        <v>0.2366967306480658</v>
      </c>
      <c r="T69" s="9" t="n">
        <v>244430965507.6714</v>
      </c>
      <c r="U69" s="9" t="n">
        <v>0.0014814814814814</v>
      </c>
      <c r="V69" s="9" t="n">
        <v>0.0001894418252328</v>
      </c>
      <c r="W69" s="9" t="n">
        <v>-1</v>
      </c>
      <c r="X69" s="9" t="n">
        <v>11.7770444548551</v>
      </c>
      <c r="Y69" s="9" t="n">
        <v>18.3545536933303</v>
      </c>
      <c r="Z69" s="9" t="n">
        <v>40.88758753920253</v>
      </c>
      <c r="AA69" s="9" t="n">
        <v>10.56262791473533</v>
      </c>
      <c r="AB69" s="9" t="n">
        <v>28.41497929375131</v>
      </c>
      <c r="AC69" s="9" t="n">
        <v>51.8527972235763</v>
      </c>
      <c r="AD69" s="9" t="n">
        <v>4148.937557870369</v>
      </c>
      <c r="AE69" s="9" t="n">
        <v>10435.21099537037</v>
      </c>
      <c r="AF69" s="9" t="n">
        <v>12241.89972222222</v>
      </c>
      <c r="AG69" s="9" t="n">
        <v>16707.00542824074</v>
      </c>
      <c r="AH69" s="8" t="inlineStr">
        <is>
          <t>Moderate (5.0-5.9)</t>
        </is>
      </c>
    </row>
    <row r="70">
      <c r="A70" s="8" t="inlineStr">
        <is>
          <t>1970-01-10 17:12:38.900</t>
        </is>
      </c>
      <c r="B70" s="8" t="n">
        <v>1970</v>
      </c>
      <c r="C70" s="9" t="n">
        <v>7</v>
      </c>
      <c r="D70" s="9" t="n">
        <v>127</v>
      </c>
      <c r="E70" s="8" t="n">
        <v>96</v>
      </c>
      <c r="F70" s="9" t="n">
        <v>5</v>
      </c>
      <c r="G70" s="9" t="n">
        <v>10</v>
      </c>
      <c r="H70" s="9" t="n">
        <v>5.9</v>
      </c>
      <c r="I70" s="9" t="n">
        <v>5.1</v>
      </c>
      <c r="J70" s="9" t="n">
        <v>0.9431012576103408</v>
      </c>
      <c r="K70" s="9" t="n">
        <v>5.457208446207873</v>
      </c>
      <c r="L70" s="9" t="n">
        <v>0.269330494476607</v>
      </c>
      <c r="M70" s="9" t="n">
        <v>0.09461208419572389</v>
      </c>
      <c r="N70" s="9" t="n">
        <v>1.240841376866435</v>
      </c>
      <c r="O70" s="9" t="n">
        <v>7.027261026354838</v>
      </c>
      <c r="P70" s="9" t="n">
        <v>0.4662312873973833</v>
      </c>
      <c r="Q70" s="9" t="n">
        <v>0.2498515066645549</v>
      </c>
      <c r="R70" s="9" t="n">
        <v>0.1135498153872509</v>
      </c>
      <c r="S70" s="9" t="n">
        <v>0.2366967306480658</v>
      </c>
      <c r="T70" s="9" t="n">
        <v>246468044376.9784</v>
      </c>
      <c r="U70" s="9" t="n">
        <v>0.0014814814814814</v>
      </c>
      <c r="V70" s="9" t="n">
        <v>0.0001894418252328</v>
      </c>
      <c r="W70" s="9" t="n">
        <v>-1</v>
      </c>
      <c r="X70" s="9" t="n">
        <v>12.6705432878521</v>
      </c>
      <c r="Y70" s="9" t="n">
        <v>18.3545536933303</v>
      </c>
      <c r="Z70" s="9" t="n">
        <v>42.54449353533738</v>
      </c>
      <c r="AA70" s="9" t="n">
        <v>11.25281812072798</v>
      </c>
      <c r="AB70" s="9" t="n">
        <v>29.18206501799068</v>
      </c>
      <c r="AC70" s="9" t="n">
        <v>86.6627813266921</v>
      </c>
      <c r="AD70" s="9" t="n">
        <v>4148.966607638889</v>
      </c>
      <c r="AE70" s="9" t="n">
        <v>9726.753505787035</v>
      </c>
      <c r="AF70" s="9" t="n">
        <v>9726.753505787035</v>
      </c>
      <c r="AG70" s="9" t="n">
        <v>9726.753505787035</v>
      </c>
      <c r="AH70" s="8" t="inlineStr">
        <is>
          <t>Moderate (5.0-5.9)</t>
        </is>
      </c>
    </row>
    <row r="71">
      <c r="A71" s="8" t="inlineStr">
        <is>
          <t>1970-01-11 05:02:05.000</t>
        </is>
      </c>
      <c r="B71" s="8" t="n">
        <v>1970</v>
      </c>
      <c r="C71" s="9" t="n">
        <v>7.43</v>
      </c>
      <c r="D71" s="9" t="n">
        <v>126.87</v>
      </c>
      <c r="E71" s="8" t="n">
        <v>60</v>
      </c>
      <c r="F71" s="9" t="n">
        <v>5.4</v>
      </c>
      <c r="G71" s="9" t="n">
        <v>14</v>
      </c>
      <c r="H71" s="9" t="n">
        <v>5.9</v>
      </c>
      <c r="I71" s="9" t="n">
        <v>5.014285714285713</v>
      </c>
      <c r="J71" s="9" t="n">
        <v>0.9431012576103408</v>
      </c>
      <c r="K71" s="9" t="n">
        <v>5.457208446207873</v>
      </c>
      <c r="L71" s="9" t="n">
        <v>0.2121387734728336</v>
      </c>
      <c r="M71" s="9" t="n">
        <v>0.09461208419572389</v>
      </c>
      <c r="N71" s="9" t="n">
        <v>1.240841376866435</v>
      </c>
      <c r="O71" s="9" t="n">
        <v>7.027261026354838</v>
      </c>
      <c r="P71" s="9" t="n">
        <v>0.3672281286058814</v>
      </c>
      <c r="Q71" s="9" t="n">
        <v>0.1873594804028481</v>
      </c>
      <c r="R71" s="9" t="n">
        <v>0.1135498153872509</v>
      </c>
      <c r="S71" s="9" t="n">
        <v>0.2366967306480658</v>
      </c>
      <c r="T71" s="9" t="n">
        <v>250937439853.9196</v>
      </c>
      <c r="U71" s="9" t="n">
        <v>0.0014814814814814</v>
      </c>
      <c r="V71" s="9" t="n">
        <v>0.0001894418252328</v>
      </c>
      <c r="W71" s="9" t="n">
        <v>-1</v>
      </c>
      <c r="X71" s="9" t="n">
        <v>15.8529378831233</v>
      </c>
      <c r="Y71" s="9" t="n">
        <v>18.3545536933303</v>
      </c>
      <c r="Z71" s="9" t="n">
        <v>41.41093400980795</v>
      </c>
      <c r="AA71" s="9" t="n">
        <v>11.736808590301</v>
      </c>
      <c r="AB71" s="9" t="n">
        <v>29.6823976285901</v>
      </c>
      <c r="AC71" s="9" t="n">
        <v>4.305829500966905</v>
      </c>
      <c r="AD71" s="9" t="n">
        <v>4149.459270833333</v>
      </c>
      <c r="AE71" s="9" t="n">
        <v>9727.246168981481</v>
      </c>
      <c r="AF71" s="9" t="n">
        <v>9727.246168981481</v>
      </c>
      <c r="AG71" s="9" t="n">
        <v>9727.246168981481</v>
      </c>
      <c r="AH71" s="8" t="inlineStr">
        <is>
          <t>Moderate (5.0-5.9)</t>
        </is>
      </c>
    </row>
    <row r="72">
      <c r="A72" s="8" t="inlineStr">
        <is>
          <t>1970-01-11 21:02:22.300</t>
        </is>
      </c>
      <c r="B72" s="8" t="n">
        <v>1970</v>
      </c>
      <c r="C72" s="9" t="n">
        <v>6.52</v>
      </c>
      <c r="D72" s="9" t="n">
        <v>126.99</v>
      </c>
      <c r="E72" s="8" t="n">
        <v>84</v>
      </c>
      <c r="F72" s="9" t="n">
        <v>5</v>
      </c>
      <c r="G72" s="9" t="n">
        <v>16</v>
      </c>
      <c r="H72" s="9" t="n">
        <v>5.9</v>
      </c>
      <c r="I72" s="9" t="n">
        <v>4.98125</v>
      </c>
      <c r="J72" s="9" t="n">
        <v>0.9431012576103408</v>
      </c>
      <c r="K72" s="9" t="n">
        <v>5.457208446207873</v>
      </c>
      <c r="L72" s="9" t="n">
        <v>0.1924661921454234</v>
      </c>
      <c r="M72" s="9" t="n">
        <v>0.09461208419572389</v>
      </c>
      <c r="N72" s="9" t="n">
        <v>1.240841376866435</v>
      </c>
      <c r="O72" s="9" t="n">
        <v>7.027261026354838</v>
      </c>
      <c r="P72" s="9" t="n">
        <v>0.3331734147624595</v>
      </c>
      <c r="Q72" s="9" t="n">
        <v>0.1667824907208596</v>
      </c>
      <c r="R72" s="9" t="n">
        <v>0.1135498153872509</v>
      </c>
      <c r="S72" s="9" t="n">
        <v>0.2366967306480658</v>
      </c>
      <c r="T72" s="9" t="n">
        <v>252627865130.2018</v>
      </c>
      <c r="U72" s="9" t="n">
        <v>0.0014814814814814</v>
      </c>
      <c r="V72" s="9" t="n">
        <v>0.0001894418252328</v>
      </c>
      <c r="W72" s="9" t="n">
        <v>-1.333333333333333</v>
      </c>
      <c r="X72" s="9" t="n">
        <v>17.7354502211304</v>
      </c>
      <c r="Y72" s="9" t="n">
        <v>18.3545536933303</v>
      </c>
      <c r="Z72" s="9" t="n">
        <v>41.53833709986442</v>
      </c>
      <c r="AA72" s="9" t="n">
        <v>11.00368778023829</v>
      </c>
      <c r="AB72" s="9" t="n">
        <v>29.94103388962981</v>
      </c>
      <c r="AC72" s="9" t="n">
        <v>4.476555856029242</v>
      </c>
      <c r="AD72" s="9" t="n">
        <v>3171.444077546297</v>
      </c>
      <c r="AE72" s="9" t="n">
        <v>5222.085420138887</v>
      </c>
      <c r="AF72" s="9" t="n">
        <v>12243.08830208333</v>
      </c>
      <c r="AG72" s="9" t="n">
        <v>16708.19400810185</v>
      </c>
      <c r="AH72" s="8" t="inlineStr">
        <is>
          <t>Moderate (5.0-5.9)</t>
        </is>
      </c>
    </row>
    <row r="73">
      <c r="A73" s="8" t="inlineStr">
        <is>
          <t>1970-01-12 04:25:01.100</t>
        </is>
      </c>
      <c r="B73" s="8" t="n">
        <v>1970</v>
      </c>
      <c r="C73" s="9" t="n">
        <v>6.01</v>
      </c>
      <c r="D73" s="9" t="n">
        <v>126.97</v>
      </c>
      <c r="E73" s="8" t="n">
        <v>70</v>
      </c>
      <c r="F73" s="9" t="n">
        <v>5.1</v>
      </c>
      <c r="G73" s="9" t="n">
        <v>9</v>
      </c>
      <c r="H73" s="9" t="n">
        <v>5.5</v>
      </c>
      <c r="I73" s="9" t="n">
        <v>4.988888888888889</v>
      </c>
      <c r="J73" s="9" t="n">
        <v>1.505149978319893</v>
      </c>
      <c r="K73" s="9" t="n">
        <v>8.328496546703407</v>
      </c>
      <c r="L73" s="9" t="n">
        <v>0.5789550946270736</v>
      </c>
      <c r="M73" s="9" t="n">
        <v>0.0868998745153757</v>
      </c>
      <c r="N73" s="9" t="n">
        <v>2.171472409516257</v>
      </c>
      <c r="O73" s="9" t="n">
        <v>11.80983376610014</v>
      </c>
      <c r="P73" s="9" t="n">
        <v>1.205019175351976</v>
      </c>
      <c r="Q73" s="9" t="n">
        <v>0.5686994994432053</v>
      </c>
      <c r="R73" s="9" t="n">
        <v>-0.0333333333333323</v>
      </c>
      <c r="S73" s="9" t="n">
        <v>0.0613705638880111</v>
      </c>
      <c r="T73" s="9" t="n">
        <v>136499550694.6322</v>
      </c>
      <c r="U73" s="9" t="n">
        <v>3.051757812500268e-05</v>
      </c>
      <c r="V73" s="9" t="n">
        <v>3.059023205018304e-07</v>
      </c>
      <c r="W73" s="9" t="n">
        <v>-1.294550914010537</v>
      </c>
      <c r="X73" s="9" t="n">
        <v>11.7770444548551</v>
      </c>
      <c r="Y73" s="9" t="n">
        <v>32.0159842108523</v>
      </c>
      <c r="Z73" s="9" t="n">
        <v>40.17347950915718</v>
      </c>
      <c r="AA73" s="9" t="n">
        <v>5.087383366009425</v>
      </c>
      <c r="AB73" s="9" t="n">
        <v>43.22017712640164</v>
      </c>
      <c r="AC73" s="9" t="n">
        <v>-1.273617279645011</v>
      </c>
      <c r="AD73" s="9" t="n">
        <v>2425.550591435182</v>
      </c>
      <c r="AE73" s="9" t="n">
        <v>4492.83606597222</v>
      </c>
      <c r="AF73" s="9" t="n">
        <v>4492.83606597222</v>
      </c>
      <c r="AG73" s="9" t="n">
        <v>4492.83606597222</v>
      </c>
      <c r="AH73" s="8" t="inlineStr">
        <is>
          <t>Moderate (5.0-5.9)</t>
        </is>
      </c>
    </row>
    <row r="74">
      <c r="A74" s="8" t="inlineStr">
        <is>
          <t>1970-01-13 20:48:27.200</t>
        </is>
      </c>
      <c r="B74" s="8" t="n">
        <v>1970</v>
      </c>
      <c r="C74" s="9" t="n">
        <v>7.09</v>
      </c>
      <c r="D74" s="9" t="n">
        <v>126.79</v>
      </c>
      <c r="E74" s="8" t="n">
        <v>74</v>
      </c>
      <c r="F74" s="9" t="n">
        <v>5.3</v>
      </c>
      <c r="G74" s="9" t="n">
        <v>19</v>
      </c>
      <c r="H74" s="9" t="n">
        <v>5.9</v>
      </c>
      <c r="I74" s="9" t="n">
        <v>4.973684210526316</v>
      </c>
      <c r="J74" s="9" t="n">
        <v>1.120827491583724</v>
      </c>
      <c r="K74" s="9" t="n">
        <v>6.485146894825093</v>
      </c>
      <c r="L74" s="9" t="n">
        <v>0.2537081362376066</v>
      </c>
      <c r="M74" s="9" t="n">
        <v>0.1144444145924892</v>
      </c>
      <c r="N74" s="9" t="n">
        <v>1.240841376866438</v>
      </c>
      <c r="O74" s="9" t="n">
        <v>7.106442272402479</v>
      </c>
      <c r="P74" s="9" t="n">
        <v>0.3109491538439118</v>
      </c>
      <c r="Q74" s="9" t="n">
        <v>0.1645788604374885</v>
      </c>
      <c r="R74" s="9" t="n">
        <v>0.1139651788326414</v>
      </c>
      <c r="S74" s="9" t="n">
        <v>0.172884185770183</v>
      </c>
      <c r="T74" s="9" t="n">
        <v>264862396764.5296</v>
      </c>
      <c r="U74" s="9" t="n">
        <v>0.0004340277777777</v>
      </c>
      <c r="V74" s="9" t="n">
        <v>0.0001894418252328</v>
      </c>
      <c r="W74" s="9" t="n">
        <v>-1.596319295791931</v>
      </c>
      <c r="X74" s="9" t="n">
        <v>19.2156434375776</v>
      </c>
      <c r="Y74" s="9" t="n">
        <v>18.3545536933303</v>
      </c>
      <c r="Z74" s="9" t="n">
        <v>42.13607901479443</v>
      </c>
      <c r="AA74" s="9" t="n">
        <v>10.57229387732778</v>
      </c>
      <c r="AB74" s="9" t="n">
        <v>31.57176770477579</v>
      </c>
      <c r="AC74" s="9" t="n">
        <v>3.957169670762277</v>
      </c>
      <c r="AD74" s="9" t="n">
        <v>4152.116472222224</v>
      </c>
      <c r="AE74" s="9" t="n">
        <v>9729.903370370372</v>
      </c>
      <c r="AF74" s="9" t="n">
        <v>9729.903370370372</v>
      </c>
      <c r="AG74" s="9" t="n">
        <v>9729.903370370372</v>
      </c>
      <c r="AH74" s="8" t="inlineStr">
        <is>
          <t>Moderate (5.0-5.9)</t>
        </is>
      </c>
    </row>
    <row r="75">
      <c r="A75" s="8" t="inlineStr">
        <is>
          <t>1970-01-24 02:31:48.300</t>
        </is>
      </c>
      <c r="B75" s="8" t="n">
        <v>1970</v>
      </c>
      <c r="C75" s="9" t="n">
        <v>9.02</v>
      </c>
      <c r="D75" s="9" t="n">
        <v>126.45</v>
      </c>
      <c r="E75" s="8" t="n">
        <v>53</v>
      </c>
      <c r="F75" s="9" t="n">
        <v>5.3</v>
      </c>
      <c r="G75" s="9" t="n">
        <v>3</v>
      </c>
      <c r="H75" s="9" t="n">
        <v>5.3</v>
      </c>
      <c r="I75" s="9" t="n">
        <v>5.2</v>
      </c>
      <c r="J75" s="9" t="n">
        <v>2.385606273598338</v>
      </c>
      <c r="K75" s="9" t="n">
        <v>12.66453637283924</v>
      </c>
      <c r="L75" s="9" t="n">
        <v>0.7557266632048556</v>
      </c>
      <c r="M75" s="9" t="n">
        <v>0.0360667066065073</v>
      </c>
      <c r="N75" s="9" t="n">
        <v>2.895296546021672</v>
      </c>
      <c r="O75" s="9" t="n">
        <v>15.24313363943019</v>
      </c>
      <c r="P75" s="9" t="n">
        <v>1.113149032428996</v>
      </c>
      <c r="Q75" s="9" t="n">
        <v>0.1889330193748838</v>
      </c>
      <c r="R75" s="9" t="n">
        <v>-0.0087286502380976</v>
      </c>
      <c r="S75" s="9" t="n">
        <v>0.0352081566997828</v>
      </c>
      <c r="T75" s="9" t="n">
        <v>85274834539.44255</v>
      </c>
      <c r="U75" s="9" t="n">
        <v>6.969171937624396e-08</v>
      </c>
      <c r="V75" s="9" t="n">
        <v>2.061153622438658e-09</v>
      </c>
      <c r="W75" s="9" t="n">
        <v>2.121320343559642</v>
      </c>
      <c r="X75" s="9" t="n">
        <v>4.308100197271101</v>
      </c>
      <c r="Y75" s="9" t="n">
        <v>2.45510884851897</v>
      </c>
      <c r="Z75" s="9" t="n">
        <v>9.675525774843624</v>
      </c>
      <c r="AA75" s="9" t="n">
        <v>6.288485151297203</v>
      </c>
      <c r="AB75" s="9" t="n">
        <v>10.74047011110984</v>
      </c>
      <c r="AC75" s="9" t="n">
        <v>0.5422175959872533</v>
      </c>
      <c r="AD75" s="9" t="n">
        <v>2875.300489583333</v>
      </c>
      <c r="AE75" s="9" t="n">
        <v>2875.300489583333</v>
      </c>
      <c r="AF75" s="9" t="n">
        <v>6519.649089120368</v>
      </c>
      <c r="AG75" s="9" t="n">
        <v>6519.649089120368</v>
      </c>
      <c r="AH75" s="8" t="inlineStr">
        <is>
          <t>Moderate (5.0-5.9)</t>
        </is>
      </c>
    </row>
    <row r="76">
      <c r="A76" s="8" t="inlineStr">
        <is>
          <t>1970-04-12 04:01:44.600</t>
        </is>
      </c>
      <c r="B76" s="8" t="n">
        <v>1970</v>
      </c>
      <c r="C76" s="9" t="n">
        <v>15.08</v>
      </c>
      <c r="D76" s="9" t="n">
        <v>122.01</v>
      </c>
      <c r="E76" s="8" t="n">
        <v>25</v>
      </c>
      <c r="F76" s="9" t="n">
        <v>7</v>
      </c>
      <c r="G76" s="9" t="n">
        <v>44</v>
      </c>
      <c r="H76" s="9" t="n">
        <v>7.3</v>
      </c>
      <c r="I76" s="9" t="n">
        <v>4.9</v>
      </c>
      <c r="J76" s="9" t="n">
        <v>0.4937173725232642</v>
      </c>
      <c r="K76" s="9" t="n">
        <v>3.357548028161526</v>
      </c>
      <c r="L76" s="9" t="n">
        <v>0.045130414597444</v>
      </c>
      <c r="M76" s="9" t="n">
        <v>0.158241548304778</v>
      </c>
      <c r="N76" s="9" t="n">
        <v>0.7896263307331853</v>
      </c>
      <c r="O76" s="9" t="n">
        <v>5.062075005972764</v>
      </c>
      <c r="P76" s="9" t="n">
        <v>0.1154398486484556</v>
      </c>
      <c r="Q76" s="9" t="n">
        <v>0.2517951489845062</v>
      </c>
      <c r="R76" s="9" t="n">
        <v>0.4994533410846964</v>
      </c>
      <c r="S76" s="9" t="n">
        <v>0.8892778533961545</v>
      </c>
      <c r="T76" s="9" t="n">
        <v>3742049294228.33</v>
      </c>
      <c r="U76" s="9" t="n">
        <v>0.0330253844859254</v>
      </c>
      <c r="V76" s="9" t="n">
        <v>0.0042768203492089</v>
      </c>
      <c r="W76" s="9" t="n">
        <v>-2.043382825531</v>
      </c>
      <c r="X76" s="9" t="n">
        <v>32.81270946187556</v>
      </c>
      <c r="Y76" s="9" t="n">
        <v>16.7867047620773</v>
      </c>
      <c r="Z76" s="9" t="n">
        <v>35.46006595038659</v>
      </c>
      <c r="AA76" s="9" t="n">
        <v>10.8679152282322</v>
      </c>
      <c r="AB76" s="9" t="n">
        <v>17.54390936579676</v>
      </c>
      <c r="AC76" s="9" t="n">
        <v>-1.059496045761102</v>
      </c>
      <c r="AD76" s="9" t="n">
        <v>3.27628009259206</v>
      </c>
      <c r="AE76" s="9" t="n">
        <v>4.935861111109261</v>
      </c>
      <c r="AF76" s="9" t="n">
        <v>4.935861111109261</v>
      </c>
      <c r="AG76" s="9" t="n">
        <v>11922.66838657407</v>
      </c>
      <c r="AH76" s="8" t="inlineStr">
        <is>
          <t>Major (&gt;=7.0)</t>
        </is>
      </c>
    </row>
    <row r="77">
      <c r="A77" s="8" t="inlineStr">
        <is>
          <t>1970-04-12 05:18:09.100</t>
        </is>
      </c>
      <c r="B77" s="8" t="n">
        <v>1970</v>
      </c>
      <c r="C77" s="9" t="n">
        <v>15.17</v>
      </c>
      <c r="D77" s="9" t="n">
        <v>122.51</v>
      </c>
      <c r="E77" s="8" t="n">
        <v>32</v>
      </c>
      <c r="F77" s="9" t="n">
        <v>5.4</v>
      </c>
      <c r="G77" s="9" t="n">
        <v>47</v>
      </c>
      <c r="H77" s="9" t="n">
        <v>7</v>
      </c>
      <c r="I77" s="9" t="n">
        <v>4.92127659574468</v>
      </c>
      <c r="J77" s="9" t="n">
        <v>0.6602703737071486</v>
      </c>
      <c r="K77" s="9" t="n">
        <v>4.36012492185739</v>
      </c>
      <c r="L77" s="9" t="n">
        <v>0.0725508218891477</v>
      </c>
      <c r="M77" s="9" t="n">
        <v>0.1570594304336277</v>
      </c>
      <c r="N77" s="9" t="n">
        <v>0.9047801706317756</v>
      </c>
      <c r="O77" s="9" t="n">
        <v>5.734452831759682</v>
      </c>
      <c r="P77" s="9" t="n">
        <v>0.1362337974879036</v>
      </c>
      <c r="Q77" s="9" t="n">
        <v>0.2161022260050319</v>
      </c>
      <c r="R77" s="9" t="n">
        <v>0.3964553075779111</v>
      </c>
      <c r="S77" s="9" t="n">
        <v>0.6620485086940855</v>
      </c>
      <c r="T77" s="9" t="n">
        <v>2047494011196.033</v>
      </c>
      <c r="U77" s="9" t="n">
        <v>0.010451746769845</v>
      </c>
      <c r="V77" s="9" t="n">
        <v>0.0019304541362276</v>
      </c>
      <c r="W77" s="9" t="n">
        <v>-2.3480441111884</v>
      </c>
      <c r="X77" s="9" t="n">
        <v>33.93892357368036</v>
      </c>
      <c r="Y77" s="9" t="n">
        <v>17.1025715727941</v>
      </c>
      <c r="Z77" s="9" t="n">
        <v>37.47787193876817</v>
      </c>
      <c r="AA77" s="9" t="n">
        <v>11.52371816592498</v>
      </c>
      <c r="AB77" s="9" t="n">
        <v>40.1325105905778</v>
      </c>
      <c r="AC77" s="9" t="n">
        <v>0.2887409483287226</v>
      </c>
      <c r="AD77" s="9" t="n">
        <v>0.0530613425908086</v>
      </c>
      <c r="AE77" s="9" t="n">
        <v>0.0530613425908086</v>
      </c>
      <c r="AF77" s="9" t="n">
        <v>0.0530613425908086</v>
      </c>
      <c r="AG77" s="9" t="n">
        <v>43535.17270833333</v>
      </c>
      <c r="AH77" s="8" t="inlineStr">
        <is>
          <t>Moderate (5.0-5.9)</t>
        </is>
      </c>
    </row>
    <row r="78">
      <c r="A78" s="8" t="inlineStr">
        <is>
          <t>1970-04-12 14:22:38.200</t>
        </is>
      </c>
      <c r="B78" s="8" t="n">
        <v>1970</v>
      </c>
      <c r="C78" s="9" t="n">
        <v>15.07</v>
      </c>
      <c r="D78" s="9" t="n">
        <v>122.51</v>
      </c>
      <c r="E78" s="8" t="n">
        <v>26</v>
      </c>
      <c r="F78" s="9" t="n">
        <v>5.4</v>
      </c>
      <c r="G78" s="9" t="n">
        <v>53</v>
      </c>
      <c r="H78" s="9" t="n">
        <v>7</v>
      </c>
      <c r="I78" s="9" t="n">
        <v>4.901886792452831</v>
      </c>
      <c r="J78" s="9" t="n">
        <v>0.6394301099286236</v>
      </c>
      <c r="K78" s="9" t="n">
        <v>4.229162060054006</v>
      </c>
      <c r="L78" s="9" t="n">
        <v>0.0613507545028972</v>
      </c>
      <c r="M78" s="9" t="n">
        <v>0.1558398492347704</v>
      </c>
      <c r="N78" s="9" t="n">
        <v>0.9405103429751948</v>
      </c>
      <c r="O78" s="9" t="n">
        <v>5.933000636254248</v>
      </c>
      <c r="P78" s="9" t="n">
        <v>0.1327274939372033</v>
      </c>
      <c r="Q78" s="9" t="n">
        <v>0.2330333780360703</v>
      </c>
      <c r="R78" s="9" t="n">
        <v>0.386044863408002</v>
      </c>
      <c r="S78" s="9" t="n">
        <v>0.691722073479923</v>
      </c>
      <c r="T78" s="9" t="n">
        <v>2048419057656.933</v>
      </c>
      <c r="U78" s="9" t="n">
        <v>0.0120700667047148</v>
      </c>
      <c r="V78" s="9" t="n">
        <v>0.0015082348482255</v>
      </c>
      <c r="W78" s="9" t="n">
        <v>-2.412416087911758</v>
      </c>
      <c r="X78" s="9" t="n">
        <v>36.08623487004396</v>
      </c>
      <c r="Y78" s="9" t="n">
        <v>17.1025715727941</v>
      </c>
      <c r="Z78" s="9" t="n">
        <v>45.01176005187514</v>
      </c>
      <c r="AA78" s="9" t="n">
        <v>14.91917931389573</v>
      </c>
      <c r="AB78" s="9" t="n">
        <v>40.37722458653349</v>
      </c>
      <c r="AC78" s="9" t="n">
        <v>3.660733722328396</v>
      </c>
      <c r="AD78" s="9" t="n">
        <v>0.4311759259289829</v>
      </c>
      <c r="AE78" s="9" t="n">
        <v>0.4311759259289829</v>
      </c>
      <c r="AF78" s="9" t="n">
        <v>0.4311759259289829</v>
      </c>
      <c r="AG78" s="9" t="n">
        <v>43535.17270833333</v>
      </c>
      <c r="AH78" s="8" t="inlineStr">
        <is>
          <t>Moderate (5.0-5.9)</t>
        </is>
      </c>
    </row>
    <row r="79">
      <c r="A79" s="8" t="inlineStr">
        <is>
          <t>1970-04-15 13:14:26.700</t>
        </is>
      </c>
      <c r="B79" s="8" t="n">
        <v>1970</v>
      </c>
      <c r="C79" s="9" t="n">
        <v>15.11</v>
      </c>
      <c r="D79" s="9" t="n">
        <v>122.71</v>
      </c>
      <c r="E79" s="8" t="n">
        <v>50</v>
      </c>
      <c r="F79" s="9" t="n">
        <v>6</v>
      </c>
      <c r="G79" s="9" t="n">
        <v>39</v>
      </c>
      <c r="H79" s="9" t="n">
        <v>7</v>
      </c>
      <c r="I79" s="9" t="n">
        <v>4.882051282051282</v>
      </c>
      <c r="J79" s="9" t="n">
        <v>0.574901147239091</v>
      </c>
      <c r="K79" s="9" t="n">
        <v>3.715068530716867</v>
      </c>
      <c r="L79" s="9" t="n">
        <v>0.0591651869558482</v>
      </c>
      <c r="M79" s="9" t="n">
        <v>0.2358655969021092</v>
      </c>
      <c r="N79" s="9" t="n">
        <v>1.047234920901458</v>
      </c>
      <c r="O79" s="9" t="n">
        <v>6.361900033795417</v>
      </c>
      <c r="P79" s="9" t="n">
        <v>0.1963216167729415</v>
      </c>
      <c r="Q79" s="9" t="n">
        <v>0.3904177614463227</v>
      </c>
      <c r="R79" s="9" t="n">
        <v>0.5379003006723222</v>
      </c>
      <c r="S79" s="9" t="n">
        <v>0.9250497602590384</v>
      </c>
      <c r="T79" s="9" t="n">
        <v>2008126935174.599</v>
      </c>
      <c r="U79" s="9" t="n">
        <v>0.0188493577981202</v>
      </c>
      <c r="V79" s="9" t="n">
        <v>0.0007215978611983</v>
      </c>
      <c r="W79" s="9" t="n">
        <v>-1.234160406518156</v>
      </c>
      <c r="X79" s="9" t="n">
        <v>30.84464408255619</v>
      </c>
      <c r="Y79" s="9" t="n">
        <v>25.7822444524338</v>
      </c>
      <c r="Z79" s="9" t="n">
        <v>52.75873231411177</v>
      </c>
      <c r="AA79" s="9" t="n">
        <v>14.11490838768708</v>
      </c>
      <c r="AB79" s="9" t="n">
        <v>41.02974445950993</v>
      </c>
      <c r="AC79" s="9" t="n">
        <v>1.990184736572414</v>
      </c>
      <c r="AD79" s="9" t="n">
        <v>3.383820601851767</v>
      </c>
      <c r="AE79" s="9" t="n">
        <v>3.383820601851767</v>
      </c>
      <c r="AF79" s="9" t="n">
        <v>3.383820601851767</v>
      </c>
      <c r="AG79" s="9" t="n">
        <v>43535.17270833333</v>
      </c>
      <c r="AH79" s="8" t="inlineStr">
        <is>
          <t>Strong (6.0-6.9)</t>
        </is>
      </c>
    </row>
    <row r="80">
      <c r="A80" s="8" t="inlineStr">
        <is>
          <t>1971-03-19 16:52:50.900</t>
        </is>
      </c>
      <c r="B80" s="8" t="n">
        <v>1971</v>
      </c>
      <c r="C80" s="9" t="n">
        <v>2.22</v>
      </c>
      <c r="D80" s="9" t="n">
        <v>126.7</v>
      </c>
      <c r="E80" s="8" t="n">
        <v>33</v>
      </c>
      <c r="F80" s="9" t="n">
        <v>5.4</v>
      </c>
      <c r="G80" s="9" t="n">
        <v>3</v>
      </c>
      <c r="H80" s="9" t="n">
        <v>5.4</v>
      </c>
      <c r="I80" s="9" t="n">
        <v>5.266666666666667</v>
      </c>
      <c r="J80" s="9" t="n">
        <v>0.3521825181113622</v>
      </c>
      <c r="K80" s="9" t="n">
        <v>2.1675973416542</v>
      </c>
      <c r="L80" s="9" t="n">
        <v>0.0380366413260664</v>
      </c>
      <c r="M80" s="9" t="n">
        <v>0.0556849454662704</v>
      </c>
      <c r="N80" s="9" t="n">
        <v>1.371456258641849</v>
      </c>
      <c r="O80" s="9" t="n">
        <v>7.334402547928907</v>
      </c>
      <c r="P80" s="9" t="n">
        <v>0.5768069626061558</v>
      </c>
      <c r="Q80" s="9" t="n">
        <v>0.2265487189466954</v>
      </c>
      <c r="R80" s="9" t="n">
        <v>-0.7547556456757238</v>
      </c>
      <c r="S80" s="9" t="n">
        <v>0.0521061085884326</v>
      </c>
      <c r="T80" s="9" t="n">
        <v>107220097020.0803</v>
      </c>
      <c r="U80" s="9" t="n">
        <v>0.0877914951989027</v>
      </c>
      <c r="V80" s="9" t="n">
        <v>7.684776196487846e-05</v>
      </c>
      <c r="W80" s="9" t="n">
        <v>0.6123724356957945</v>
      </c>
      <c r="X80" s="9" t="n">
        <v>3.817433980804671</v>
      </c>
      <c r="Y80" s="9" t="n">
        <v>311.036227151874</v>
      </c>
      <c r="Z80" s="9" t="n">
        <v>325.181121735064</v>
      </c>
      <c r="AA80" s="9" t="n">
        <v>12.38571388310695</v>
      </c>
      <c r="AB80" s="9" t="n">
        <v>329.886128460089</v>
      </c>
      <c r="AC80" s="9" t="n">
        <v>1.660978099147268</v>
      </c>
      <c r="AD80" s="9" t="n">
        <v>3067.304628472226</v>
      </c>
      <c r="AE80" s="9" t="n">
        <v>6888.82080902778</v>
      </c>
      <c r="AF80" s="9" t="n">
        <v>7538.004802083336</v>
      </c>
      <c r="AG80" s="9" t="n">
        <v>43535.17270833333</v>
      </c>
      <c r="AH80" s="8" t="inlineStr">
        <is>
          <t>Moderate (5.0-5.9)</t>
        </is>
      </c>
    </row>
    <row r="81">
      <c r="A81" s="8" t="inlineStr">
        <is>
          <t>1971-04-02 04:16:08.800</t>
        </is>
      </c>
      <c r="B81" s="8" t="n">
        <v>1971</v>
      </c>
      <c r="C81" s="9" t="n">
        <v>8.94</v>
      </c>
      <c r="D81" s="9" t="n">
        <v>125.68</v>
      </c>
      <c r="E81" s="8" t="n">
        <v>31</v>
      </c>
      <c r="F81" s="9" t="n">
        <v>5</v>
      </c>
      <c r="G81" s="9" t="n">
        <v>3</v>
      </c>
      <c r="H81" s="9" t="n">
        <v>5.5</v>
      </c>
      <c r="I81" s="9" t="n">
        <v>5.333333333333333</v>
      </c>
      <c r="J81" s="9" t="n">
        <v>0.9542425094393246</v>
      </c>
      <c r="K81" s="9" t="n">
        <v>5.333527548370741</v>
      </c>
      <c r="L81" s="9" t="n">
        <v>0.2517072799493611</v>
      </c>
      <c r="M81" s="9" t="n">
        <v>0.08283624741336031</v>
      </c>
      <c r="N81" s="9" t="n">
        <v>1.532804053776184</v>
      </c>
      <c r="O81" s="9" t="n">
        <v>8.294421928978197</v>
      </c>
      <c r="P81" s="9" t="n">
        <v>0.6494586987710461</v>
      </c>
      <c r="Q81" s="9" t="n">
        <v>0.1673604849105462</v>
      </c>
      <c r="R81" s="9" t="n">
        <v>-0.0892789260714366</v>
      </c>
      <c r="S81" s="9" t="n">
        <v>0.0887265182107031</v>
      </c>
      <c r="T81" s="9" t="n">
        <v>121263837141.073</v>
      </c>
      <c r="U81" s="9" t="n">
        <v>0.0013717421124828</v>
      </c>
      <c r="V81" s="9" t="n">
        <v>2.521087033094869e-05</v>
      </c>
      <c r="W81" s="9" t="n">
        <v>-0.4472135954999578</v>
      </c>
      <c r="X81" s="9" t="n">
        <v>4.308100197271101</v>
      </c>
      <c r="Y81" s="9" t="n">
        <v>1.96418107146633</v>
      </c>
      <c r="Z81" s="9" t="n">
        <v>3.72297016270381</v>
      </c>
      <c r="AA81" s="9" t="n">
        <v>2.923705280227789</v>
      </c>
      <c r="AB81" s="9" t="n">
        <v>2.695181163235889</v>
      </c>
      <c r="AC81" s="9" t="n">
        <v>0.3652733773689769</v>
      </c>
      <c r="AD81" s="9" t="n">
        <v>21814.00593518519</v>
      </c>
      <c r="AE81" s="9" t="n">
        <v>21814.00593518519</v>
      </c>
      <c r="AF81" s="9" t="n">
        <v>21814.00593518519</v>
      </c>
      <c r="AG81" s="9" t="n">
        <v>21814.00593518519</v>
      </c>
      <c r="AH81" s="8" t="inlineStr">
        <is>
          <t>Moderate (5.0-5.9)</t>
        </is>
      </c>
    </row>
    <row r="82">
      <c r="A82" s="8" t="inlineStr">
        <is>
          <t>1972-06-07 12:01:18.700</t>
        </is>
      </c>
      <c r="B82" s="8" t="n">
        <v>1972</v>
      </c>
      <c r="C82" s="9" t="n">
        <v>2.5</v>
      </c>
      <c r="D82" s="9" t="n">
        <v>128.26</v>
      </c>
      <c r="E82" s="8" t="n">
        <v>162</v>
      </c>
      <c r="F82" s="9" t="n">
        <v>5.6</v>
      </c>
      <c r="G82" s="9" t="n">
        <v>3</v>
      </c>
      <c r="H82" s="9" t="n">
        <v>5.7</v>
      </c>
      <c r="I82" s="9" t="n">
        <v>5.333333333333333</v>
      </c>
      <c r="J82" s="9" t="n">
        <v>0.7262227698167665</v>
      </c>
      <c r="K82" s="9" t="n">
        <v>4.032767421351057</v>
      </c>
      <c r="L82" s="9" t="n">
        <v>0.2251267756820715</v>
      </c>
      <c r="M82" s="9" t="n">
        <v>0.1183843457259889</v>
      </c>
      <c r="N82" s="9" t="n">
        <v>1.532804053776184</v>
      </c>
      <c r="O82" s="9" t="n">
        <v>8.294421928978197</v>
      </c>
      <c r="P82" s="9" t="n">
        <v>1.002907106814629</v>
      </c>
      <c r="Q82" s="9" t="n">
        <v>0.2240677650309309</v>
      </c>
      <c r="R82" s="9" t="n">
        <v>0.1469278726022791</v>
      </c>
      <c r="S82" s="9" t="n">
        <v>0.2887265182107033</v>
      </c>
      <c r="T82" s="9" t="n">
        <v>148328815431.472</v>
      </c>
      <c r="U82" s="9" t="n">
        <v>0.0066272246190612</v>
      </c>
      <c r="V82" s="9" t="n">
        <v>2.521087033094869e-05</v>
      </c>
      <c r="W82" s="9" t="n">
        <v>-0.6123724356957945</v>
      </c>
      <c r="X82" s="9" t="n">
        <v>6.539149811747721</v>
      </c>
      <c r="Y82" s="9" t="n">
        <v>198.0536669343331</v>
      </c>
      <c r="Z82" s="9" t="n">
        <v>257.0166372968073</v>
      </c>
      <c r="AA82" s="9" t="n">
        <v>52.58404855079655</v>
      </c>
      <c r="AB82" s="9" t="n">
        <v>270.0404381357936</v>
      </c>
      <c r="AC82" s="9" t="n">
        <v>-2.819464265342936</v>
      </c>
      <c r="AD82" s="9" t="n">
        <v>427.2928159722214</v>
      </c>
      <c r="AE82" s="9" t="n">
        <v>427.2928159722214</v>
      </c>
      <c r="AF82" s="9" t="n">
        <v>7983.802346064816</v>
      </c>
      <c r="AG82" s="9" t="n">
        <v>43535.17270833333</v>
      </c>
      <c r="AH82" s="8" t="inlineStr">
        <is>
          <t>Moderate (5.0-5.9)</t>
        </is>
      </c>
    </row>
    <row r="83">
      <c r="A83" s="8" t="inlineStr">
        <is>
          <t>1972-10-28 18:31:21.600</t>
        </is>
      </c>
      <c r="B83" s="8" t="n">
        <v>1972</v>
      </c>
      <c r="C83" s="9" t="n">
        <v>2.45</v>
      </c>
      <c r="D83" s="9" t="n">
        <v>128.57</v>
      </c>
      <c r="E83" s="8" t="n">
        <v>80</v>
      </c>
      <c r="F83" s="9" t="n">
        <v>5.4</v>
      </c>
      <c r="G83" s="9" t="n">
        <v>3</v>
      </c>
      <c r="H83" s="9" t="n">
        <v>5.7</v>
      </c>
      <c r="I83" s="9" t="n">
        <v>5.433333333333334</v>
      </c>
      <c r="J83" s="9" t="n">
        <v>1.025636073215496</v>
      </c>
      <c r="K83" s="9" t="n">
        <v>5.769580140032395</v>
      </c>
      <c r="L83" s="9" t="n">
        <v>0.3515361210478475</v>
      </c>
      <c r="M83" s="9" t="n">
        <v>0.07834514779044879</v>
      </c>
      <c r="N83" s="9" t="n">
        <v>1.532804053776184</v>
      </c>
      <c r="O83" s="9" t="n">
        <v>8.447702334355817</v>
      </c>
      <c r="P83" s="9" t="n">
        <v>0.785157280999174</v>
      </c>
      <c r="Q83" s="9" t="n">
        <v>0.1549326973968785</v>
      </c>
      <c r="R83" s="9" t="n">
        <v>0.074632200733693</v>
      </c>
      <c r="S83" s="9" t="n">
        <v>0.1887265182107027</v>
      </c>
      <c r="T83" s="9" t="n">
        <v>160424283826.8734</v>
      </c>
      <c r="U83" s="9" t="n">
        <v>0.0008377062976308</v>
      </c>
      <c r="V83" s="9" t="n">
        <v>2.521087033094869e-05</v>
      </c>
      <c r="W83" s="9" t="n">
        <v>-1</v>
      </c>
      <c r="X83" s="9" t="n">
        <v>4.95782220511194</v>
      </c>
      <c r="Y83" s="9" t="n">
        <v>269.320123778611</v>
      </c>
      <c r="Z83" s="9" t="n">
        <v>278.1002794148853</v>
      </c>
      <c r="AA83" s="9" t="n">
        <v>8.183996148579563</v>
      </c>
      <c r="AB83" s="9" t="n">
        <v>282.2362822426732</v>
      </c>
      <c r="AC83" s="9" t="n">
        <v>16.34408815090829</v>
      </c>
      <c r="AD83" s="9" t="n">
        <v>570.5636828703682</v>
      </c>
      <c r="AE83" s="9" t="n">
        <v>570.5636828703682</v>
      </c>
      <c r="AF83" s="9" t="n">
        <v>43535.17270833333</v>
      </c>
      <c r="AG83" s="9" t="n">
        <v>43535.17270833333</v>
      </c>
      <c r="AH83" s="8" t="inlineStr">
        <is>
          <t>Moderate (5.0-5.9)</t>
        </is>
      </c>
    </row>
    <row r="84">
      <c r="A84" s="8" t="inlineStr">
        <is>
          <t>1972-12-02 01:37:45.200</t>
        </is>
      </c>
      <c r="B84" s="8" t="n">
        <v>1972</v>
      </c>
      <c r="C84" s="9" t="n">
        <v>6.2</v>
      </c>
      <c r="D84" s="9" t="n">
        <v>127.23</v>
      </c>
      <c r="E84" s="8" t="n">
        <v>94</v>
      </c>
      <c r="F84" s="9" t="n">
        <v>5.2</v>
      </c>
      <c r="G84" s="9" t="n">
        <v>3</v>
      </c>
      <c r="H84" s="9" t="n">
        <v>6.3</v>
      </c>
      <c r="I84" s="9" t="n">
        <v>5.900000000000001</v>
      </c>
      <c r="J84" s="9" t="n">
        <v>0.4791788630572556</v>
      </c>
      <c r="K84" s="9" t="n">
        <v>3.031526471755298</v>
      </c>
      <c r="L84" s="9" t="n">
        <v>0.1397243704513594</v>
      </c>
      <c r="M84" s="9" t="n">
        <v>0.0820449575479424</v>
      </c>
      <c r="N84" s="9" t="n">
        <v>0.7896263307331841</v>
      </c>
      <c r="O84" s="9" t="n">
        <v>4.741103440678857</v>
      </c>
      <c r="P84" s="9" t="n">
        <v>0.3794198951062361</v>
      </c>
      <c r="Q84" s="9" t="n">
        <v>0.1678634247048033</v>
      </c>
      <c r="R84" s="9" t="n">
        <v>-0.026502910444675</v>
      </c>
      <c r="S84" s="9" t="n">
        <v>0.2957632412325388</v>
      </c>
      <c r="T84" s="9" t="n">
        <v>535835769098.585</v>
      </c>
      <c r="U84" s="9" t="n">
        <v>0.0365143362746901</v>
      </c>
      <c r="V84" s="9" t="n">
        <v>0.0042768203492089</v>
      </c>
      <c r="W84" s="9" t="n">
        <v>-1</v>
      </c>
      <c r="X84" s="9" t="n">
        <v>4.95782220511194</v>
      </c>
      <c r="Y84" s="9" t="n">
        <v>15.5677334701637</v>
      </c>
      <c r="Z84" s="9" t="n">
        <v>19.08406988083763</v>
      </c>
      <c r="AA84" s="9" t="n">
        <v>3.843581383929886</v>
      </c>
      <c r="AB84" s="9" t="n">
        <v>17.904118184813</v>
      </c>
      <c r="AC84" s="9" t="n">
        <v>598.8358311623177</v>
      </c>
      <c r="AD84" s="9" t="n">
        <v>0.0540879629625123</v>
      </c>
      <c r="AE84" s="9" t="n">
        <v>5547.719909722222</v>
      </c>
      <c r="AF84" s="9" t="n">
        <v>5547.719909722222</v>
      </c>
      <c r="AG84" s="9" t="n">
        <v>5547.719909722222</v>
      </c>
      <c r="AH84" s="8" t="inlineStr">
        <is>
          <t>Moderate (5.0-5.9)</t>
        </is>
      </c>
    </row>
    <row r="85">
      <c r="A85" s="8" t="inlineStr">
        <is>
          <t>1972-12-02 01:40:47.800</t>
        </is>
      </c>
      <c r="B85" s="8" t="n">
        <v>1972</v>
      </c>
      <c r="C85" s="9" t="n">
        <v>6.45</v>
      </c>
      <c r="D85" s="9" t="n">
        <v>126.62</v>
      </c>
      <c r="E85" s="8" t="n">
        <v>54</v>
      </c>
      <c r="F85" s="9" t="n">
        <v>5.9</v>
      </c>
      <c r="G85" s="9" t="n">
        <v>4</v>
      </c>
      <c r="H85" s="9" t="n">
        <v>6.3</v>
      </c>
      <c r="I85" s="9" t="n">
        <v>5.725000000000001</v>
      </c>
      <c r="J85" s="9" t="n">
        <v>0.4984825167874882</v>
      </c>
      <c r="K85" s="9" t="n">
        <v>3.146481344423987</v>
      </c>
      <c r="L85" s="9" t="n">
        <v>0.1464071734367402</v>
      </c>
      <c r="M85" s="9" t="n">
        <v>0.0762507674724465</v>
      </c>
      <c r="N85" s="9" t="n">
        <v>0.7552947511360899</v>
      </c>
      <c r="O85" s="9" t="n">
        <v>4.52959269723563</v>
      </c>
      <c r="P85" s="9" t="n">
        <v>0.336120830115147</v>
      </c>
      <c r="Q85" s="9" t="n">
        <v>0.1547160183584398</v>
      </c>
      <c r="R85" s="9" t="n">
        <v>-0.0121197603914895</v>
      </c>
      <c r="S85" s="9" t="n">
        <v>0.302880742356062</v>
      </c>
      <c r="T85" s="9" t="n">
        <v>537969180435.3098</v>
      </c>
      <c r="U85" s="9" t="n">
        <v>0.0319560027336207</v>
      </c>
      <c r="V85" s="9" t="n">
        <v>0.0054214536176622</v>
      </c>
      <c r="W85" s="9" t="n">
        <v>-0.9999999999999998</v>
      </c>
      <c r="X85" s="9" t="n">
        <v>5.056402083373166</v>
      </c>
      <c r="Y85" s="9" t="n">
        <v>12.5656332193794</v>
      </c>
      <c r="Z85" s="9" t="n">
        <v>17.45446071547308</v>
      </c>
      <c r="AA85" s="9" t="n">
        <v>4.524516478470998</v>
      </c>
      <c r="AB85" s="9" t="n">
        <v>17.82006417225872</v>
      </c>
      <c r="AC85" s="9" t="n">
        <v>-103.0336890323288</v>
      </c>
      <c r="AD85" s="9" t="n">
        <v>0.0562013888884393</v>
      </c>
      <c r="AE85" s="9" t="n">
        <v>8128.774442129628</v>
      </c>
      <c r="AF85" s="9" t="n">
        <v>8128.774442129628</v>
      </c>
      <c r="AG85" s="9" t="n">
        <v>17763.3873587963</v>
      </c>
      <c r="AH85" s="8" t="inlineStr">
        <is>
          <t>Moderate (5.0-5.9)</t>
        </is>
      </c>
    </row>
    <row r="86">
      <c r="A86" s="8" t="inlineStr">
        <is>
          <t>1972-12-02 01:40:51.500</t>
        </is>
      </c>
      <c r="B86" s="8" t="n">
        <v>1972</v>
      </c>
      <c r="C86" s="9" t="n">
        <v>6.39</v>
      </c>
      <c r="D86" s="9" t="n">
        <v>126.67</v>
      </c>
      <c r="E86" s="8" t="n">
        <v>84</v>
      </c>
      <c r="F86" s="9" t="n">
        <v>5.6</v>
      </c>
      <c r="G86" s="9" t="n">
        <v>5</v>
      </c>
      <c r="H86" s="9" t="n">
        <v>6.3</v>
      </c>
      <c r="I86" s="9" t="n">
        <v>5.760000000000001</v>
      </c>
      <c r="J86" s="9" t="n">
        <v>0.7074102276214922</v>
      </c>
      <c r="K86" s="9" t="n">
        <v>4.467219457644752</v>
      </c>
      <c r="L86" s="9" t="n">
        <v>0.231917500513612</v>
      </c>
      <c r="M86" s="9" t="n">
        <v>0.1037691485211241</v>
      </c>
      <c r="N86" s="9" t="n">
        <v>0.7896263307331853</v>
      </c>
      <c r="O86" s="9" t="n">
        <v>4.866042177287164</v>
      </c>
      <c r="P86" s="9" t="n">
        <v>0.2889575832979789</v>
      </c>
      <c r="Q86" s="9" t="n">
        <v>0.1278916781341331</v>
      </c>
      <c r="R86" s="9" t="n">
        <v>-0.014892382408397</v>
      </c>
      <c r="S86" s="9" t="n">
        <v>0.1375381013840595</v>
      </c>
      <c r="T86" s="9" t="n">
        <v>575410963959.9104</v>
      </c>
      <c r="U86" s="9" t="n">
        <v>0.0075469125415017</v>
      </c>
      <c r="V86" s="9" t="n">
        <v>0.0042768203492089</v>
      </c>
      <c r="W86" s="9" t="n">
        <v>-1</v>
      </c>
      <c r="X86" s="9" t="n">
        <v>6.50052317917223</v>
      </c>
      <c r="Y86" s="9" t="n">
        <v>12.5656332193794</v>
      </c>
      <c r="Z86" s="9" t="n">
        <v>16.67537473098404</v>
      </c>
      <c r="AA86" s="9" t="n">
        <v>4.288159497861868</v>
      </c>
      <c r="AB86" s="9" t="n">
        <v>17.18032338207905</v>
      </c>
      <c r="AC86" s="9" t="n">
        <v>-100.6898673518511</v>
      </c>
      <c r="AD86" s="9" t="n">
        <v>0.0562442129630653</v>
      </c>
      <c r="AE86" s="9" t="n">
        <v>6277.278813657405</v>
      </c>
      <c r="AF86" s="9" t="n">
        <v>8128.774484953703</v>
      </c>
      <c r="AG86" s="9" t="n">
        <v>17763.38740162037</v>
      </c>
      <c r="AH86" s="8" t="inlineStr">
        <is>
          <t>Moderate (5.0-5.9)</t>
        </is>
      </c>
    </row>
    <row r="87">
      <c r="A87" s="8" t="inlineStr">
        <is>
          <t>1972-12-02 02:30:04.700</t>
        </is>
      </c>
      <c r="B87" s="8" t="n">
        <v>1972</v>
      </c>
      <c r="C87" s="9" t="n">
        <v>6.25</v>
      </c>
      <c r="D87" s="9" t="n">
        <v>127.73</v>
      </c>
      <c r="E87" s="8" t="n">
        <v>50</v>
      </c>
      <c r="F87" s="9" t="n">
        <v>5</v>
      </c>
      <c r="G87" s="9" t="n">
        <v>4</v>
      </c>
      <c r="H87" s="9" t="n">
        <v>5.4</v>
      </c>
      <c r="I87" s="9" t="n">
        <v>4.875</v>
      </c>
      <c r="J87" s="9" t="n">
        <v>0.3282229491529247</v>
      </c>
      <c r="K87" s="9" t="n">
        <v>1.929263945738538</v>
      </c>
      <c r="L87" s="9" t="n">
        <v>0.07662164062579301</v>
      </c>
      <c r="M87" s="9" t="n">
        <v>0.09978935912742409</v>
      </c>
      <c r="N87" s="9" t="n">
        <v>0.4695075480035156</v>
      </c>
      <c r="O87" s="9" t="n">
        <v>2.480090183342025</v>
      </c>
      <c r="P87" s="9" t="n">
        <v>0.1567829086381466</v>
      </c>
      <c r="Q87" s="9" t="n">
        <v>0.1663805472377058</v>
      </c>
      <c r="R87" s="9" t="n">
        <v>-0.4779069249044516</v>
      </c>
      <c r="S87" s="9" t="n">
        <v>0.1176777159641018</v>
      </c>
      <c r="T87" s="9" t="n">
        <v>90639310650.49928</v>
      </c>
      <c r="U87" s="9" t="n">
        <v>0.1035931770730037</v>
      </c>
      <c r="V87" s="9" t="n">
        <v>0.0390370828135297</v>
      </c>
      <c r="W87" s="9" t="n">
        <v>-0.9999999999999998</v>
      </c>
      <c r="X87" s="9" t="n">
        <v>7.343625335737808</v>
      </c>
      <c r="Y87" s="9" t="n">
        <v>12.5656332193794</v>
      </c>
      <c r="Z87" s="9" t="n">
        <v>21.73039847966502</v>
      </c>
      <c r="AA87" s="9" t="n">
        <v>6.467648449532769</v>
      </c>
      <c r="AB87" s="9" t="n">
        <v>20.07421425938822</v>
      </c>
      <c r="AC87" s="9" t="n">
        <v>39.29047266752407</v>
      </c>
      <c r="AD87" s="9" t="n">
        <v>5545.321721064818</v>
      </c>
      <c r="AE87" s="9" t="n">
        <v>5547.756246527781</v>
      </c>
      <c r="AF87" s="9" t="n">
        <v>5547.756246527781</v>
      </c>
      <c r="AG87" s="9" t="n">
        <v>5547.756246527781</v>
      </c>
      <c r="AH87" s="8" t="inlineStr">
        <is>
          <t>Moderate (5.0-5.9)</t>
        </is>
      </c>
    </row>
    <row r="88">
      <c r="A88" s="8" t="inlineStr">
        <is>
          <t>1972-12-02 03:29:16.500</t>
        </is>
      </c>
      <c r="B88" s="8" t="n">
        <v>1972</v>
      </c>
      <c r="C88" s="9" t="n">
        <v>6.12</v>
      </c>
      <c r="D88" s="9" t="n">
        <v>127.42</v>
      </c>
      <c r="E88" s="8" t="n">
        <v>33</v>
      </c>
      <c r="F88" s="9" t="n">
        <v>5</v>
      </c>
      <c r="G88" s="9" t="n">
        <v>10</v>
      </c>
      <c r="H88" s="9" t="n">
        <v>6.3</v>
      </c>
      <c r="I88" s="9" t="n">
        <v>5.35</v>
      </c>
      <c r="J88" s="9" t="n">
        <v>0.8511347704319226</v>
      </c>
      <c r="K88" s="9" t="n">
        <v>5.342686781708235</v>
      </c>
      <c r="L88" s="9" t="n">
        <v>0.3461774369061732</v>
      </c>
      <c r="M88" s="9" t="n">
        <v>0.0867534062477852</v>
      </c>
      <c r="N88" s="9" t="n">
        <v>0.8863152691903095</v>
      </c>
      <c r="O88" s="9" t="n">
        <v>5.48507245796369</v>
      </c>
      <c r="P88" s="9" t="n">
        <v>0.3753864181868013</v>
      </c>
      <c r="Q88" s="9" t="n">
        <v>0.4251463446275133</v>
      </c>
      <c r="R88" s="9" t="n">
        <v>0.0228662635918412</v>
      </c>
      <c r="S88" s="9" t="n">
        <v>0.1113754229072903</v>
      </c>
      <c r="T88" s="9" t="n">
        <v>589141605918.4299</v>
      </c>
      <c r="U88" s="9" t="n">
        <v>0.0027963767892774</v>
      </c>
      <c r="V88" s="9" t="n">
        <v>0.002193078576498</v>
      </c>
      <c r="W88" s="9" t="n">
        <v>-1</v>
      </c>
      <c r="X88" s="9" t="n">
        <v>12.6705432878521</v>
      </c>
      <c r="Y88" s="9" t="n">
        <v>12.5656332193794</v>
      </c>
      <c r="Z88" s="9" t="n">
        <v>22.56725880667</v>
      </c>
      <c r="AA88" s="9" t="n">
        <v>10.09979968148698</v>
      </c>
      <c r="AB88" s="9" t="n">
        <v>17.66803829284506</v>
      </c>
      <c r="AC88" s="9" t="n">
        <v>115.8100012702888</v>
      </c>
      <c r="AD88" s="9" t="n">
        <v>0.1315335648141626</v>
      </c>
      <c r="AE88" s="9" t="n">
        <v>5547.797355324074</v>
      </c>
      <c r="AF88" s="9" t="n">
        <v>5547.797355324074</v>
      </c>
      <c r="AG88" s="9" t="n">
        <v>5547.797355324074</v>
      </c>
      <c r="AH88" s="8" t="inlineStr">
        <is>
          <t>Moderate (5.0-5.9)</t>
        </is>
      </c>
    </row>
    <row r="89">
      <c r="A89" s="8" t="inlineStr">
        <is>
          <t>1972-12-02 03:56:57.600</t>
        </is>
      </c>
      <c r="B89" s="8" t="n">
        <v>1972</v>
      </c>
      <c r="C89" s="9" t="n">
        <v>6.2</v>
      </c>
      <c r="D89" s="9" t="n">
        <v>127.59</v>
      </c>
      <c r="E89" s="8" t="n">
        <v>48</v>
      </c>
      <c r="F89" s="9" t="n">
        <v>5.6</v>
      </c>
      <c r="G89" s="9" t="n">
        <v>7</v>
      </c>
      <c r="H89" s="9" t="n">
        <v>5.4</v>
      </c>
      <c r="I89" s="9" t="n">
        <v>4.914285714285714</v>
      </c>
      <c r="J89" s="9" t="n">
        <v>1.204119982655922</v>
      </c>
      <c r="K89" s="9" t="n">
        <v>6.472144906775577</v>
      </c>
      <c r="L89" s="9" t="n">
        <v>0.5562504175521749</v>
      </c>
      <c r="M89" s="9" t="n">
        <v>0.0777256106610329</v>
      </c>
      <c r="N89" s="9" t="n">
        <v>1.737177927613007</v>
      </c>
      <c r="O89" s="9" t="n">
        <v>9.16063742649032</v>
      </c>
      <c r="P89" s="9" t="n">
        <v>1.15776236476452</v>
      </c>
      <c r="Q89" s="9" t="n">
        <v>0.6892436901429789</v>
      </c>
      <c r="R89" s="9" t="n">
        <v>0.0250000000000003</v>
      </c>
      <c r="S89" s="9" t="n">
        <v>0.126713204860013</v>
      </c>
      <c r="T89" s="9" t="n">
        <v>104288916396.7356</v>
      </c>
      <c r="U89" s="9" t="n">
        <v>0.000244140625</v>
      </c>
      <c r="V89" s="9" t="n">
        <v>6.144212353328218e-06</v>
      </c>
      <c r="W89" s="9" t="n">
        <v>-1</v>
      </c>
      <c r="X89" s="9" t="n">
        <v>10.32709664663429</v>
      </c>
      <c r="Y89" s="9" t="n">
        <v>11.5175911379821</v>
      </c>
      <c r="Z89" s="9" t="n">
        <v>25.9625140144157</v>
      </c>
      <c r="AA89" s="9" t="n">
        <v>12.75278577029171</v>
      </c>
      <c r="AB89" s="9" t="n">
        <v>23.26978847617488</v>
      </c>
      <c r="AC89" s="9" t="n">
        <v>46.88846643718395</v>
      </c>
      <c r="AD89" s="9" t="n">
        <v>4226.73198611111</v>
      </c>
      <c r="AE89" s="9" t="n">
        <v>5547.816581018516</v>
      </c>
      <c r="AF89" s="9" t="n">
        <v>5547.816581018516</v>
      </c>
      <c r="AG89" s="9" t="n">
        <v>5547.816581018516</v>
      </c>
      <c r="AH89" s="8" t="inlineStr">
        <is>
          <t>Moderate (5.0-5.9)</t>
        </is>
      </c>
    </row>
    <row r="90">
      <c r="A90" s="8" t="inlineStr">
        <is>
          <t>1972-12-02 04:04:55.100</t>
        </is>
      </c>
      <c r="B90" s="8" t="n">
        <v>1972</v>
      </c>
      <c r="C90" s="9" t="n">
        <v>6.11</v>
      </c>
      <c r="D90" s="9" t="n">
        <v>127.49</v>
      </c>
      <c r="E90" s="8" t="n">
        <v>33</v>
      </c>
      <c r="F90" s="9" t="n">
        <v>5</v>
      </c>
      <c r="G90" s="9" t="n">
        <v>11</v>
      </c>
      <c r="H90" s="9" t="n">
        <v>6.3</v>
      </c>
      <c r="I90" s="9" t="n">
        <v>5.190909090909091</v>
      </c>
      <c r="J90" s="9" t="n">
        <v>0.7805190910810333</v>
      </c>
      <c r="K90" s="9" t="n">
        <v>4.734702280151316</v>
      </c>
      <c r="L90" s="9" t="n">
        <v>0.241552786996385</v>
      </c>
      <c r="M90" s="9" t="n">
        <v>0.1357316781344306</v>
      </c>
      <c r="N90" s="9" t="n">
        <v>0.8685889638065052</v>
      </c>
      <c r="O90" s="9" t="n">
        <v>5.207954965796821</v>
      </c>
      <c r="P90" s="9" t="n">
        <v>0.2991393917940639</v>
      </c>
      <c r="Q90" s="9" t="n">
        <v>0.2938095195185612</v>
      </c>
      <c r="R90" s="9" t="n">
        <v>0.2339058656545276</v>
      </c>
      <c r="S90" s="9" t="n">
        <v>0.3041202653859729</v>
      </c>
      <c r="T90" s="9" t="n">
        <v>505953057924.6229</v>
      </c>
      <c r="U90" s="9" t="n">
        <v>0.0045545211876655</v>
      </c>
      <c r="V90" s="9" t="n">
        <v>0.0024787521766663</v>
      </c>
      <c r="W90" s="9" t="n">
        <v>-1</v>
      </c>
      <c r="X90" s="9" t="n">
        <v>13.51998522590726</v>
      </c>
      <c r="Y90" s="9" t="n">
        <v>11.5175911379821</v>
      </c>
      <c r="Z90" s="9" t="n">
        <v>24.99088965480474</v>
      </c>
      <c r="AA90" s="9" t="n">
        <v>10.43460487350975</v>
      </c>
      <c r="AB90" s="9" t="n">
        <v>20.02227888218068</v>
      </c>
      <c r="AC90" s="9" t="n">
        <v>63.01721810814216</v>
      </c>
      <c r="AD90" s="9" t="n">
        <v>0.1563414351840037</v>
      </c>
      <c r="AE90" s="9" t="n">
        <v>5547.822107638887</v>
      </c>
      <c r="AF90" s="9" t="n">
        <v>5547.822107638887</v>
      </c>
      <c r="AG90" s="9" t="n">
        <v>5547.822107638887</v>
      </c>
      <c r="AH90" s="8" t="inlineStr">
        <is>
          <t>Moderate (5.0-5.9)</t>
        </is>
      </c>
    </row>
    <row r="91">
      <c r="A91" s="8" t="inlineStr">
        <is>
          <t>1972-12-02 04:31:47.100</t>
        </is>
      </c>
      <c r="B91" s="8" t="n">
        <v>1972</v>
      </c>
      <c r="C91" s="9" t="n">
        <v>6.21</v>
      </c>
      <c r="D91" s="9" t="n">
        <v>127.4</v>
      </c>
      <c r="E91" s="8" t="n">
        <v>65</v>
      </c>
      <c r="F91" s="9" t="n">
        <v>5.3</v>
      </c>
      <c r="G91" s="9" t="n">
        <v>14</v>
      </c>
      <c r="H91" s="9" t="n">
        <v>6.3</v>
      </c>
      <c r="I91" s="9" t="n">
        <v>5.285714285714286</v>
      </c>
      <c r="J91" s="9" t="n">
        <v>0.8755124529810802</v>
      </c>
      <c r="K91" s="9" t="n">
        <v>5.500007125995728</v>
      </c>
      <c r="L91" s="9" t="n">
        <v>0.272156468598175</v>
      </c>
      <c r="M91" s="9" t="n">
        <v>0.08388395019911921</v>
      </c>
      <c r="N91" s="9" t="n">
        <v>0.8685889638065036</v>
      </c>
      <c r="O91" s="9" t="n">
        <v>5.419752598785763</v>
      </c>
      <c r="P91" s="9" t="n">
        <v>0.2678691006391403</v>
      </c>
      <c r="Q91" s="9" t="n">
        <v>0.3373176365097203</v>
      </c>
      <c r="R91" s="9" t="n">
        <v>0.0179567152146686</v>
      </c>
      <c r="S91" s="9" t="n">
        <v>0.0602792291600815</v>
      </c>
      <c r="T91" s="9" t="n">
        <v>601474163716.3879</v>
      </c>
      <c r="U91" s="9" t="n">
        <v>0.0023629941205861</v>
      </c>
      <c r="V91" s="9" t="n">
        <v>0.0024787521766663</v>
      </c>
      <c r="W91" s="9" t="n">
        <v>-1</v>
      </c>
      <c r="X91" s="9" t="n">
        <v>15.8529378831233</v>
      </c>
      <c r="Y91" s="9" t="n">
        <v>11.5175911379821</v>
      </c>
      <c r="Z91" s="9" t="n">
        <v>23.03079455087166</v>
      </c>
      <c r="AA91" s="9" t="n">
        <v>9.991862083264689</v>
      </c>
      <c r="AB91" s="9" t="n">
        <v>18.34719936198621</v>
      </c>
      <c r="AC91" s="9" t="n">
        <v>54.93424035812805</v>
      </c>
      <c r="AD91" s="9" t="n">
        <v>0.1749432870346936</v>
      </c>
      <c r="AE91" s="9" t="n">
        <v>5547.840765046294</v>
      </c>
      <c r="AF91" s="9" t="n">
        <v>5547.840765046294</v>
      </c>
      <c r="AG91" s="9" t="n">
        <v>5547.840765046294</v>
      </c>
      <c r="AH91" s="8" t="inlineStr">
        <is>
          <t>Moderate (5.0-5.9)</t>
        </is>
      </c>
    </row>
    <row r="92">
      <c r="A92" s="8" t="inlineStr">
        <is>
          <t>1972-12-02 04:48:37.500</t>
        </is>
      </c>
      <c r="B92" s="8" t="n">
        <v>1972</v>
      </c>
      <c r="C92" s="9" t="n">
        <v>6.18</v>
      </c>
      <c r="D92" s="9" t="n">
        <v>127.16</v>
      </c>
      <c r="E92" s="8" t="n">
        <v>33</v>
      </c>
      <c r="F92" s="9" t="n">
        <v>5.1</v>
      </c>
      <c r="G92" s="9" t="n">
        <v>15</v>
      </c>
      <c r="H92" s="9" t="n">
        <v>6.3</v>
      </c>
      <c r="I92" s="9" t="n">
        <v>5.286666666666666</v>
      </c>
      <c r="J92" s="9" t="n">
        <v>0.9162536716383076</v>
      </c>
      <c r="K92" s="9" t="n">
        <v>5.744110742614619</v>
      </c>
      <c r="L92" s="9" t="n">
        <v>0.2774987585385596</v>
      </c>
      <c r="M92" s="9" t="n">
        <v>0.0771692212662652</v>
      </c>
      <c r="N92" s="9" t="n">
        <v>0.9418434547299452</v>
      </c>
      <c r="O92" s="9" t="n">
        <v>5.851828474035041</v>
      </c>
      <c r="P92" s="9" t="n">
        <v>0.2932155758453353</v>
      </c>
      <c r="Q92" s="9" t="n">
        <v>0.3856986052791237</v>
      </c>
      <c r="R92" s="9" t="n">
        <v>0.0308728789660843</v>
      </c>
      <c r="S92" s="9" t="n">
        <v>0.0868353337838554</v>
      </c>
      <c r="T92" s="9" t="n">
        <v>604349681991.1913</v>
      </c>
      <c r="U92" s="9" t="n">
        <v>0.0017833598509767</v>
      </c>
      <c r="V92" s="9" t="n">
        <v>0.0014944095553797</v>
      </c>
      <c r="W92" s="9" t="n">
        <v>-1</v>
      </c>
      <c r="X92" s="9" t="n">
        <v>16.12821739922113</v>
      </c>
      <c r="Y92" s="9" t="n">
        <v>11.5175911379821</v>
      </c>
      <c r="Z92" s="9" t="n">
        <v>22.36772298884388</v>
      </c>
      <c r="AA92" s="9" t="n">
        <v>9.964990218690875</v>
      </c>
      <c r="AB92" s="9" t="n">
        <v>18.26208658774122</v>
      </c>
      <c r="AC92" s="9" t="n">
        <v>25.14686322555933</v>
      </c>
      <c r="AD92" s="9" t="n">
        <v>0.1866377314836427</v>
      </c>
      <c r="AE92" s="9" t="n">
        <v>5547.852459490743</v>
      </c>
      <c r="AF92" s="9" t="n">
        <v>5547.852459490743</v>
      </c>
      <c r="AG92" s="9" t="n">
        <v>5547.852459490743</v>
      </c>
      <c r="AH92" s="8" t="inlineStr">
        <is>
          <t>Moderate (5.0-5.9)</t>
        </is>
      </c>
    </row>
    <row r="93">
      <c r="A93" s="8" t="inlineStr">
        <is>
          <t>1972-12-02 05:04:03.000</t>
        </is>
      </c>
      <c r="B93" s="8" t="n">
        <v>1972</v>
      </c>
      <c r="C93" s="9" t="n">
        <v>5.76</v>
      </c>
      <c r="D93" s="9" t="n">
        <v>127.19</v>
      </c>
      <c r="E93" s="8" t="n">
        <v>33</v>
      </c>
      <c r="F93" s="9" t="n">
        <v>5</v>
      </c>
      <c r="G93" s="9" t="n">
        <v>15</v>
      </c>
      <c r="H93" s="9" t="n">
        <v>6.3</v>
      </c>
      <c r="I93" s="9" t="n">
        <v>5.266666666666667</v>
      </c>
      <c r="J93" s="9" t="n">
        <v>0.8561324277246682</v>
      </c>
      <c r="K93" s="9" t="n">
        <v>5.381973543600724</v>
      </c>
      <c r="L93" s="9" t="n">
        <v>0.2427230630263037</v>
      </c>
      <c r="M93" s="9" t="n">
        <v>0.0861687872755369</v>
      </c>
      <c r="N93" s="9" t="n">
        <v>0.8908604756989784</v>
      </c>
      <c r="O93" s="9" t="n">
        <v>5.535564460626632</v>
      </c>
      <c r="P93" s="9" t="n">
        <v>0.2628140218396056</v>
      </c>
      <c r="Q93" s="9" t="n">
        <v>0.331245921454755</v>
      </c>
      <c r="R93" s="9" t="n">
        <v>0.0136202656120341</v>
      </c>
      <c r="S93" s="9" t="n">
        <v>0.08627224843107929</v>
      </c>
      <c r="T93" s="9" t="n">
        <v>601252047621.29</v>
      </c>
      <c r="U93" s="9" t="n">
        <v>0.0027014859726524</v>
      </c>
      <c r="V93" s="9" t="n">
        <v>0.0021252918309012</v>
      </c>
      <c r="W93" s="9" t="n">
        <v>-1</v>
      </c>
      <c r="X93" s="9" t="n">
        <v>16.57116257172166</v>
      </c>
      <c r="Y93" s="9" t="n">
        <v>11.5175911379821</v>
      </c>
      <c r="Z93" s="9" t="n">
        <v>22.04394005105131</v>
      </c>
      <c r="AA93" s="9" t="n">
        <v>10.01523198904725</v>
      </c>
      <c r="AB93" s="9" t="n">
        <v>18.14844556338054</v>
      </c>
      <c r="AC93" s="9" t="n">
        <v>17.88155241708346</v>
      </c>
      <c r="AD93" s="9" t="n">
        <v>0.1973495370366436</v>
      </c>
      <c r="AE93" s="9" t="n">
        <v>5547.863171296296</v>
      </c>
      <c r="AF93" s="9" t="n">
        <v>5547.863171296296</v>
      </c>
      <c r="AG93" s="9" t="n">
        <v>5547.863171296296</v>
      </c>
      <c r="AH93" s="8" t="inlineStr">
        <is>
          <t>Moderate (5.0-5.9)</t>
        </is>
      </c>
    </row>
    <row r="94">
      <c r="A94" s="8" t="inlineStr">
        <is>
          <t>1972-12-02 05:48:19.500</t>
        </is>
      </c>
      <c r="B94" s="8" t="n">
        <v>1972</v>
      </c>
      <c r="C94" s="9" t="n">
        <v>5.62</v>
      </c>
      <c r="D94" s="9" t="n">
        <v>127.31</v>
      </c>
      <c r="E94" s="8" t="n">
        <v>33</v>
      </c>
      <c r="F94" s="9" t="n">
        <v>5.4</v>
      </c>
      <c r="G94" s="9" t="n">
        <v>11</v>
      </c>
      <c r="H94" s="9" t="n">
        <v>5.6</v>
      </c>
      <c r="I94" s="9" t="n">
        <v>5</v>
      </c>
      <c r="J94" s="9" t="n">
        <v>1.255272505103311</v>
      </c>
      <c r="K94" s="9" t="n">
        <v>6.934101777634609</v>
      </c>
      <c r="L94" s="9" t="n">
        <v>0.4260193447959883</v>
      </c>
      <c r="M94" s="9" t="n">
        <v>0.0994848859037929</v>
      </c>
      <c r="N94" s="9" t="n">
        <v>2.0044360703227</v>
      </c>
      <c r="O94" s="9" t="n">
        <v>10.9001888203977</v>
      </c>
      <c r="P94" s="9" t="n">
        <v>1.086269801318474</v>
      </c>
      <c r="Q94" s="9" t="n">
        <v>0.8981536972580372</v>
      </c>
      <c r="R94" s="9" t="n">
        <v>0.0760187533431864</v>
      </c>
      <c r="S94" s="9" t="n">
        <v>0.1619673374552421</v>
      </c>
      <c r="T94" s="9" t="n">
        <v>156944823361.088</v>
      </c>
      <c r="U94" s="9" t="n">
        <v>0.0001714677640603</v>
      </c>
      <c r="V94" s="9" t="n">
        <v>9.698214581498481e-07</v>
      </c>
      <c r="W94" s="9" t="n">
        <v>-1</v>
      </c>
      <c r="X94" s="9" t="n">
        <v>14.01494686345268</v>
      </c>
      <c r="Y94" s="9" t="n">
        <v>11.5175911379821</v>
      </c>
      <c r="Z94" s="9" t="n">
        <v>24.26307873390391</v>
      </c>
      <c r="AA94" s="9" t="n">
        <v>11.17444408526329</v>
      </c>
      <c r="AB94" s="9" t="n">
        <v>24.71758135581192</v>
      </c>
      <c r="AC94" s="9" t="n">
        <v>-35.24012883729603</v>
      </c>
      <c r="AD94" s="9" t="n">
        <v>1397.337917824076</v>
      </c>
      <c r="AE94" s="9" t="n">
        <v>5547.893917824076</v>
      </c>
      <c r="AF94" s="9" t="n">
        <v>5547.893917824076</v>
      </c>
      <c r="AG94" s="9" t="n">
        <v>5547.893917824076</v>
      </c>
      <c r="AH94" s="8" t="inlineStr">
        <is>
          <t>Moderate (5.0-5.9)</t>
        </is>
      </c>
    </row>
    <row r="95">
      <c r="A95" s="8" t="inlineStr">
        <is>
          <t>1972-12-02 09:54:21.700</t>
        </is>
      </c>
      <c r="B95" s="8" t="n">
        <v>1972</v>
      </c>
      <c r="C95" s="9" t="n">
        <v>5.9</v>
      </c>
      <c r="D95" s="9" t="n">
        <v>127.2</v>
      </c>
      <c r="E95" s="8" t="n">
        <v>80</v>
      </c>
      <c r="F95" s="9" t="n">
        <v>5.1</v>
      </c>
      <c r="G95" s="9" t="n">
        <v>19</v>
      </c>
      <c r="H95" s="9" t="n">
        <v>6.3</v>
      </c>
      <c r="I95" s="9" t="n">
        <v>5.247368421052633</v>
      </c>
      <c r="J95" s="9" t="n">
        <v>0.9684874984348428</v>
      </c>
      <c r="K95" s="9" t="n">
        <v>6.05867993229211</v>
      </c>
      <c r="L95" s="9" t="n">
        <v>0.2498530362627911</v>
      </c>
      <c r="M95" s="9" t="n">
        <v>0.0734770576279303</v>
      </c>
      <c r="N95" s="9" t="n">
        <v>0.9870329134164824</v>
      </c>
      <c r="O95" s="9" t="n">
        <v>6.132571149765709</v>
      </c>
      <c r="P95" s="9" t="n">
        <v>0.259513445011821</v>
      </c>
      <c r="Q95" s="9" t="n">
        <v>0.3723844963917223</v>
      </c>
      <c r="R95" s="9" t="n">
        <v>0.0441836450305812</v>
      </c>
      <c r="S95" s="9" t="n">
        <v>0.086862559082621</v>
      </c>
      <c r="T95" s="9" t="n">
        <v>611278060641.6328</v>
      </c>
      <c r="U95" s="9" t="n">
        <v>0.0012431899903028</v>
      </c>
      <c r="V95" s="9" t="n">
        <v>0.0010937076750024</v>
      </c>
      <c r="W95" s="9" t="n">
        <v>-1</v>
      </c>
      <c r="X95" s="9" t="n">
        <v>19.2156434375776</v>
      </c>
      <c r="Y95" s="9" t="n">
        <v>6.71073524824245</v>
      </c>
      <c r="Z95" s="9" t="n">
        <v>21.68201791813424</v>
      </c>
      <c r="AA95" s="9" t="n">
        <v>9.628763190019008</v>
      </c>
      <c r="AB95" s="9" t="n">
        <v>18.39887518765467</v>
      </c>
      <c r="AC95" s="9" t="n">
        <v>-14.28274856613906</v>
      </c>
      <c r="AD95" s="9" t="n">
        <v>0.3989548611134523</v>
      </c>
      <c r="AE95" s="9" t="n">
        <v>5548.064776620373</v>
      </c>
      <c r="AF95" s="9" t="n">
        <v>5548.064776620373</v>
      </c>
      <c r="AG95" s="9" t="n">
        <v>5548.064776620373</v>
      </c>
      <c r="AH95" s="8" t="inlineStr">
        <is>
          <t>Moderate (5.0-5.9)</t>
        </is>
      </c>
    </row>
    <row r="96">
      <c r="A96" s="8" t="inlineStr">
        <is>
          <t>1972-12-02 10:16:26.800</t>
        </is>
      </c>
      <c r="B96" s="8" t="n">
        <v>1972</v>
      </c>
      <c r="C96" s="9" t="n">
        <v>5.8</v>
      </c>
      <c r="D96" s="9" t="n">
        <v>127.36</v>
      </c>
      <c r="E96" s="8" t="n">
        <v>88</v>
      </c>
      <c r="F96" s="9" t="n">
        <v>5</v>
      </c>
      <c r="G96" s="9" t="n">
        <v>14</v>
      </c>
      <c r="H96" s="9" t="n">
        <v>5.6</v>
      </c>
      <c r="I96" s="9" t="n">
        <v>5.028571428571428</v>
      </c>
      <c r="J96" s="9" t="n">
        <v>1.681241237375591</v>
      </c>
      <c r="K96" s="9" t="n">
        <v>9.35474493017051</v>
      </c>
      <c r="L96" s="9" t="n">
        <v>0.6261983629380617</v>
      </c>
      <c r="M96" s="9" t="n">
        <v>0.06535701756106529</v>
      </c>
      <c r="N96" s="9" t="n">
        <v>1.930197697347789</v>
      </c>
      <c r="O96" s="9" t="n">
        <v>10.63908801753647</v>
      </c>
      <c r="P96" s="9" t="n">
        <v>0.8253828612266669</v>
      </c>
      <c r="Q96" s="9" t="n">
        <v>0.8572065062459974</v>
      </c>
      <c r="R96" s="9" t="n">
        <v>0.035810446350208</v>
      </c>
      <c r="S96" s="9" t="n">
        <v>0.0880837687480244</v>
      </c>
      <c r="T96" s="9" t="n">
        <v>179036328377.1889</v>
      </c>
      <c r="U96" s="9" t="n">
        <v>9.042245370370178e-06</v>
      </c>
      <c r="V96" s="9" t="n">
        <v>1.619596792312576e-06</v>
      </c>
      <c r="W96" s="9" t="n">
        <v>-1</v>
      </c>
      <c r="X96" s="9" t="n">
        <v>15.8529378831233</v>
      </c>
      <c r="Y96" s="9" t="n">
        <v>6.71073524824245</v>
      </c>
      <c r="Z96" s="9" t="n">
        <v>22.80443274537584</v>
      </c>
      <c r="AA96" s="9" t="n">
        <v>10.86790815175214</v>
      </c>
      <c r="AB96" s="9" t="n">
        <v>23.97314712963078</v>
      </c>
      <c r="AC96" s="9" t="n">
        <v>-34.99121009705443</v>
      </c>
      <c r="AD96" s="9" t="n">
        <v>4226.995518518521</v>
      </c>
      <c r="AE96" s="9" t="n">
        <v>5548.080113425927</v>
      </c>
      <c r="AF96" s="9" t="n">
        <v>5548.080113425927</v>
      </c>
      <c r="AG96" s="9" t="n">
        <v>5548.080113425927</v>
      </c>
      <c r="AH96" s="8" t="inlineStr">
        <is>
          <t>Moderate (5.0-5.9)</t>
        </is>
      </c>
    </row>
    <row r="97">
      <c r="A97" s="8" t="inlineStr">
        <is>
          <t>1972-12-02 10:36:04.400</t>
        </is>
      </c>
      <c r="B97" s="8" t="n">
        <v>1972</v>
      </c>
      <c r="C97" s="9" t="n">
        <v>6.05</v>
      </c>
      <c r="D97" s="9" t="n">
        <v>127.03</v>
      </c>
      <c r="E97" s="8" t="n">
        <v>33</v>
      </c>
      <c r="F97" s="9" t="n">
        <v>5</v>
      </c>
      <c r="G97" s="9" t="n">
        <v>21</v>
      </c>
      <c r="H97" s="9" t="n">
        <v>6.3</v>
      </c>
      <c r="I97" s="9" t="n">
        <v>5.22857142857143</v>
      </c>
      <c r="J97" s="9" t="n">
        <v>0.9684874984348428</v>
      </c>
      <c r="K97" s="9" t="n">
        <v>6.05867993229211</v>
      </c>
      <c r="L97" s="9" t="n">
        <v>0.2273093415760477</v>
      </c>
      <c r="M97" s="9" t="n">
        <v>0.0734770576279303</v>
      </c>
      <c r="N97" s="9" t="n">
        <v>0.9870329134164824</v>
      </c>
      <c r="O97" s="9" t="n">
        <v>6.132571149765709</v>
      </c>
      <c r="P97" s="9" t="n">
        <v>0.2360981127070412</v>
      </c>
      <c r="Q97" s="9" t="n">
        <v>0.3470579749202678</v>
      </c>
      <c r="R97" s="9" t="n">
        <v>0.0441836450305812</v>
      </c>
      <c r="S97" s="9" t="n">
        <v>0.086862559082621</v>
      </c>
      <c r="T97" s="9" t="n">
        <v>613330603076.5411</v>
      </c>
      <c r="U97" s="9" t="n">
        <v>0.0012431899903028</v>
      </c>
      <c r="V97" s="9" t="n">
        <v>0.0010937076750024</v>
      </c>
      <c r="W97" s="9" t="n">
        <v>-1</v>
      </c>
      <c r="X97" s="9" t="n">
        <v>19.60726397460392</v>
      </c>
      <c r="Y97" s="9" t="n">
        <v>6.71073524824245</v>
      </c>
      <c r="Z97" s="9" t="n">
        <v>21.00554051603799</v>
      </c>
      <c r="AA97" s="9" t="n">
        <v>9.622659300314863</v>
      </c>
      <c r="AB97" s="9" t="n">
        <v>18.3639356362047</v>
      </c>
      <c r="AC97" s="9" t="n">
        <v>-20.21737008992489</v>
      </c>
      <c r="AD97" s="9" t="n">
        <v>0.427921296297427</v>
      </c>
      <c r="AE97" s="9" t="n">
        <v>5548.093743055557</v>
      </c>
      <c r="AF97" s="9" t="n">
        <v>5548.093743055557</v>
      </c>
      <c r="AG97" s="9" t="n">
        <v>5548.093743055557</v>
      </c>
      <c r="AH97" s="8" t="inlineStr">
        <is>
          <t>Moderate (5.0-5.9)</t>
        </is>
      </c>
    </row>
    <row r="98">
      <c r="A98" s="8" t="inlineStr">
        <is>
          <t>1972-12-02 11:26:55.500</t>
        </is>
      </c>
      <c r="B98" s="8" t="n">
        <v>1972</v>
      </c>
      <c r="C98" s="9" t="n">
        <v>5.71</v>
      </c>
      <c r="D98" s="9" t="n">
        <v>127.23</v>
      </c>
      <c r="E98" s="8" t="n">
        <v>68</v>
      </c>
      <c r="F98" s="9" t="n">
        <v>5.6</v>
      </c>
      <c r="G98" s="9" t="n">
        <v>17</v>
      </c>
      <c r="H98" s="9" t="n">
        <v>5.6</v>
      </c>
      <c r="I98" s="9" t="n">
        <v>5.058823529411764</v>
      </c>
      <c r="J98" s="9" t="n">
        <v>1.096910013008059</v>
      </c>
      <c r="K98" s="9" t="n">
        <v>6.399356318585841</v>
      </c>
      <c r="L98" s="9" t="n">
        <v>0.2373712297553504</v>
      </c>
      <c r="M98" s="9" t="n">
        <v>0.0403603756972845</v>
      </c>
      <c r="N98" s="9" t="n">
        <v>1.608498081123158</v>
      </c>
      <c r="O98" s="9" t="n">
        <v>9.06316002617644</v>
      </c>
      <c r="P98" s="9" t="n">
        <v>0.5104193994814027</v>
      </c>
      <c r="Q98" s="9" t="n">
        <v>0.6646275771799508</v>
      </c>
      <c r="R98" s="9" t="n">
        <v>-0.233984777873319</v>
      </c>
      <c r="S98" s="9" t="n">
        <v>-0.0345482363572076</v>
      </c>
      <c r="T98" s="9" t="n">
        <v>214654725605.9343</v>
      </c>
      <c r="U98" s="9" t="n">
        <v>0.0005119999999999</v>
      </c>
      <c r="V98" s="9" t="n">
        <v>1.494533852478116e-05</v>
      </c>
      <c r="W98" s="9" t="n">
        <v>-1</v>
      </c>
      <c r="X98" s="9" t="n">
        <v>18.40067420320326</v>
      </c>
      <c r="Y98" s="9" t="n">
        <v>6.71073524824245</v>
      </c>
      <c r="Z98" s="9" t="n">
        <v>22.4347627804785</v>
      </c>
      <c r="AA98" s="9" t="n">
        <v>10.7872481043218</v>
      </c>
      <c r="AB98" s="9" t="n">
        <v>23.20321603301248</v>
      </c>
      <c r="AC98" s="9" t="n">
        <v>-19.84885837576052</v>
      </c>
      <c r="AD98" s="9" t="n">
        <v>4227.044461805555</v>
      </c>
      <c r="AE98" s="9" t="n">
        <v>5548.129056712962</v>
      </c>
      <c r="AF98" s="9" t="n">
        <v>5548.129056712962</v>
      </c>
      <c r="AG98" s="9" t="n">
        <v>5548.129056712962</v>
      </c>
      <c r="AH98" s="8" t="inlineStr">
        <is>
          <t>Moderate (5.0-5.9)</t>
        </is>
      </c>
    </row>
    <row r="99">
      <c r="A99" s="8" t="inlineStr">
        <is>
          <t>1972-12-02 18:15:52.300</t>
        </is>
      </c>
      <c r="B99" s="8" t="n">
        <v>1972</v>
      </c>
      <c r="C99" s="9" t="n">
        <v>6.02</v>
      </c>
      <c r="D99" s="9" t="n">
        <v>127.04</v>
      </c>
      <c r="E99" s="8" t="n">
        <v>77</v>
      </c>
      <c r="F99" s="9" t="n">
        <v>5.1</v>
      </c>
      <c r="G99" s="9" t="n">
        <v>25</v>
      </c>
      <c r="H99" s="9" t="n">
        <v>6.3</v>
      </c>
      <c r="I99" s="9" t="n">
        <v>5.196000000000001</v>
      </c>
      <c r="J99" s="9" t="n">
        <v>1.036847143049937</v>
      </c>
      <c r="K99" s="9" t="n">
        <v>6.477489526052113</v>
      </c>
      <c r="L99" s="9" t="n">
        <v>0.2330392045370936</v>
      </c>
      <c r="M99" s="9" t="n">
        <v>0.0783743081772663</v>
      </c>
      <c r="N99" s="9" t="n">
        <v>0.9849977940073762</v>
      </c>
      <c r="O99" s="9" t="n">
        <v>6.163381213996582</v>
      </c>
      <c r="P99" s="9" t="n">
        <v>0.2103148962934151</v>
      </c>
      <c r="Q99" s="9" t="n">
        <v>0.3266569108406523</v>
      </c>
      <c r="R99" s="9" t="n">
        <v>0.0527054306208922</v>
      </c>
      <c r="S99" s="9" t="n">
        <v>0.0427461751752646</v>
      </c>
      <c r="T99" s="9" t="n">
        <v>624538479628.1256</v>
      </c>
      <c r="U99" s="9" t="n">
        <v>0.0007752799826625</v>
      </c>
      <c r="V99" s="9" t="n">
        <v>0.0011091917175041</v>
      </c>
      <c r="W99" s="9" t="n">
        <v>-1</v>
      </c>
      <c r="X99" s="9" t="n">
        <v>22.26749312670157</v>
      </c>
      <c r="Y99" s="9" t="n">
        <v>6.71073524824245</v>
      </c>
      <c r="Z99" s="9" t="n">
        <v>22.41421771756628</v>
      </c>
      <c r="AA99" s="9" t="n">
        <v>9.594892517857522</v>
      </c>
      <c r="AB99" s="9" t="n">
        <v>18.74076472394787</v>
      </c>
      <c r="AC99" s="9" t="n">
        <v>7.599944003431609</v>
      </c>
      <c r="AD99" s="9" t="n">
        <v>0.7472256944456603</v>
      </c>
      <c r="AE99" s="9" t="n">
        <v>5548.413047453705</v>
      </c>
      <c r="AF99" s="9" t="n">
        <v>5548.413047453705</v>
      </c>
      <c r="AG99" s="9" t="n">
        <v>5548.413047453705</v>
      </c>
      <c r="AH99" s="8" t="inlineStr">
        <is>
          <t>Moderate (5.0-5.9)</t>
        </is>
      </c>
    </row>
    <row r="100">
      <c r="A100" s="8" t="inlineStr">
        <is>
          <t>1972-12-02 21:00:30.800</t>
        </is>
      </c>
      <c r="B100" s="8" t="n">
        <v>1972</v>
      </c>
      <c r="C100" s="9" t="n">
        <v>5.88</v>
      </c>
      <c r="D100" s="9" t="n">
        <v>127.23</v>
      </c>
      <c r="E100" s="8" t="n">
        <v>64</v>
      </c>
      <c r="F100" s="9" t="n">
        <v>5</v>
      </c>
      <c r="G100" s="9" t="n">
        <v>25</v>
      </c>
      <c r="H100" s="9" t="n">
        <v>6.3</v>
      </c>
      <c r="I100" s="9" t="n">
        <v>5.184</v>
      </c>
      <c r="J100" s="9" t="n">
        <v>0.9906360987278846</v>
      </c>
      <c r="K100" s="9" t="n">
        <v>6.199231258318371</v>
      </c>
      <c r="L100" s="9" t="n">
        <v>0.2120098656628685</v>
      </c>
      <c r="M100" s="9" t="n">
        <v>0.08202649525432951</v>
      </c>
      <c r="N100" s="9" t="n">
        <v>0.9441184389201128</v>
      </c>
      <c r="O100" s="9" t="n">
        <v>5.909415882384586</v>
      </c>
      <c r="P100" s="9" t="n">
        <v>0.1925664973139851</v>
      </c>
      <c r="Q100" s="9" t="n">
        <v>0.2856219027659866</v>
      </c>
      <c r="R100" s="9" t="n">
        <v>0.0421710492086324</v>
      </c>
      <c r="S100" s="9" t="n">
        <v>0.0408108572227394</v>
      </c>
      <c r="T100" s="9" t="n">
        <v>621541470203.0331</v>
      </c>
      <c r="U100" s="9" t="n">
        <v>0.0010668213630104</v>
      </c>
      <c r="V100" s="9" t="n">
        <v>0.001471108426887</v>
      </c>
      <c r="W100" s="9" t="n">
        <v>-1</v>
      </c>
      <c r="X100" s="9" t="n">
        <v>22.6720385851089</v>
      </c>
      <c r="Y100" s="9" t="n">
        <v>6.71073524824245</v>
      </c>
      <c r="Z100" s="9" t="n">
        <v>22.80156512118996</v>
      </c>
      <c r="AA100" s="9" t="n">
        <v>9.820225438307396</v>
      </c>
      <c r="AB100" s="9" t="n">
        <v>18.75257646056684</v>
      </c>
      <c r="AC100" s="9" t="n">
        <v>11.51325860958114</v>
      </c>
      <c r="AD100" s="9" t="n">
        <v>0.8615601851852261</v>
      </c>
      <c r="AE100" s="9" t="n">
        <v>5548.527381944445</v>
      </c>
      <c r="AF100" s="9" t="n">
        <v>5548.527381944445</v>
      </c>
      <c r="AG100" s="9" t="n">
        <v>5548.527381944445</v>
      </c>
      <c r="AH100" s="8" t="inlineStr">
        <is>
          <t>Moderate (5.0-5.9)</t>
        </is>
      </c>
    </row>
    <row r="101">
      <c r="A101" s="8" t="inlineStr">
        <is>
          <t>1972-12-03 01:01:46.900</t>
        </is>
      </c>
      <c r="B101" s="8" t="n">
        <v>1972</v>
      </c>
      <c r="C101" s="9" t="n">
        <v>5.72</v>
      </c>
      <c r="D101" s="9" t="n">
        <v>126.92</v>
      </c>
      <c r="E101" s="8" t="n">
        <v>62</v>
      </c>
      <c r="F101" s="9" t="n">
        <v>5.1</v>
      </c>
      <c r="G101" s="9" t="n">
        <v>28</v>
      </c>
      <c r="H101" s="9" t="n">
        <v>6.3</v>
      </c>
      <c r="I101" s="9" t="n">
        <v>5.135714285714285</v>
      </c>
      <c r="J101" s="9" t="n">
        <v>0.9906360987278846</v>
      </c>
      <c r="K101" s="9" t="n">
        <v>6.199231258318371</v>
      </c>
      <c r="L101" s="9" t="n">
        <v>0.1994706119842713</v>
      </c>
      <c r="M101" s="9" t="n">
        <v>0.08202649525432951</v>
      </c>
      <c r="N101" s="9" t="n">
        <v>0.9441184389201128</v>
      </c>
      <c r="O101" s="9" t="n">
        <v>5.909415882384586</v>
      </c>
      <c r="P101" s="9" t="n">
        <v>0.1811772152526557</v>
      </c>
      <c r="Q101" s="9" t="n">
        <v>0.2605741108671447</v>
      </c>
      <c r="R101" s="9" t="n">
        <v>0.0421710492086324</v>
      </c>
      <c r="S101" s="9" t="n">
        <v>0.0408108572227394</v>
      </c>
      <c r="T101" s="9" t="n">
        <v>622484253134.2971</v>
      </c>
      <c r="U101" s="9" t="n">
        <v>0.0010668213630104</v>
      </c>
      <c r="V101" s="9" t="n">
        <v>0.001471108426887</v>
      </c>
      <c r="W101" s="9" t="n">
        <v>-1.087703356411708</v>
      </c>
      <c r="X101" s="9" t="n">
        <v>23.46179533743828</v>
      </c>
      <c r="Y101" s="9" t="n">
        <v>5.49831013936792</v>
      </c>
      <c r="Z101" s="9" t="n">
        <v>20.79025727357872</v>
      </c>
      <c r="AA101" s="9" t="n">
        <v>8.253469852994064</v>
      </c>
      <c r="AB101" s="9" t="n">
        <v>18.57005682688349</v>
      </c>
      <c r="AC101" s="9" t="n">
        <v>1.627452132587444</v>
      </c>
      <c r="AD101" s="9" t="n">
        <v>1.0291076388894</v>
      </c>
      <c r="AE101" s="9" t="n">
        <v>5548.694929398149</v>
      </c>
      <c r="AF101" s="9" t="n">
        <v>5548.694929398149</v>
      </c>
      <c r="AG101" s="9" t="n">
        <v>5548.694929398149</v>
      </c>
      <c r="AH101" s="8" t="inlineStr">
        <is>
          <t>Moderate (5.0-5.9)</t>
        </is>
      </c>
    </row>
    <row r="102">
      <c r="A102" s="8" t="inlineStr">
        <is>
          <t>1972-12-03 01:26:57.800</t>
        </is>
      </c>
      <c r="B102" s="8" t="n">
        <v>1972</v>
      </c>
      <c r="C102" s="9" t="n">
        <v>5.57</v>
      </c>
      <c r="D102" s="9" t="n">
        <v>127.47</v>
      </c>
      <c r="E102" s="8" t="n">
        <v>60</v>
      </c>
      <c r="F102" s="9" t="n">
        <v>5</v>
      </c>
      <c r="G102" s="9" t="n">
        <v>25</v>
      </c>
      <c r="H102" s="9" t="n">
        <v>5.6</v>
      </c>
      <c r="I102" s="9" t="n">
        <v>4.996</v>
      </c>
      <c r="J102" s="9" t="n">
        <v>1.096910013008059</v>
      </c>
      <c r="K102" s="9" t="n">
        <v>6.399356318585841</v>
      </c>
      <c r="L102" s="9" t="n">
        <v>0.179688440264297</v>
      </c>
      <c r="M102" s="9" t="n">
        <v>0.0403603756972845</v>
      </c>
      <c r="N102" s="9" t="n">
        <v>1.608498081123158</v>
      </c>
      <c r="O102" s="9" t="n">
        <v>9.06316002617644</v>
      </c>
      <c r="P102" s="9" t="n">
        <v>0.3863840865128479</v>
      </c>
      <c r="Q102" s="9" t="n">
        <v>0.5571813239472747</v>
      </c>
      <c r="R102" s="9" t="n">
        <v>-0.233984777873319</v>
      </c>
      <c r="S102" s="9" t="n">
        <v>-0.0345482363572076</v>
      </c>
      <c r="T102" s="9" t="n">
        <v>228315263308.5472</v>
      </c>
      <c r="U102" s="9" t="n">
        <v>0.0005119999999999</v>
      </c>
      <c r="V102" s="9" t="n">
        <v>1.494533852478116e-05</v>
      </c>
      <c r="W102" s="9" t="n">
        <v>-1</v>
      </c>
      <c r="X102" s="9" t="n">
        <v>24.0137324919802</v>
      </c>
      <c r="Y102" s="9" t="n">
        <v>5.49831013936792</v>
      </c>
      <c r="Z102" s="9" t="n">
        <v>23.86156981807677</v>
      </c>
      <c r="AA102" s="9" t="n">
        <v>12.23157286706772</v>
      </c>
      <c r="AB102" s="9" t="n">
        <v>24.99745591283375</v>
      </c>
      <c r="AC102" s="9" t="n">
        <v>4.366618931736967</v>
      </c>
      <c r="AD102" s="9" t="n">
        <v>1398.156416666665</v>
      </c>
      <c r="AE102" s="9" t="n">
        <v>5548.712416666665</v>
      </c>
      <c r="AF102" s="9" t="n">
        <v>5548.712416666665</v>
      </c>
      <c r="AG102" s="9" t="n">
        <v>5548.712416666665</v>
      </c>
      <c r="AH102" s="8" t="inlineStr">
        <is>
          <t>Moderate (5.0-5.9)</t>
        </is>
      </c>
    </row>
    <row r="103">
      <c r="A103" s="8" t="inlineStr">
        <is>
          <t>1972-12-03 03:04:33.100</t>
        </is>
      </c>
      <c r="B103" s="8" t="n">
        <v>1972</v>
      </c>
      <c r="C103" s="9" t="n">
        <v>5.97</v>
      </c>
      <c r="D103" s="9" t="n">
        <v>127.22</v>
      </c>
      <c r="E103" s="8" t="n">
        <v>65</v>
      </c>
      <c r="F103" s="9" t="n">
        <v>5</v>
      </c>
      <c r="G103" s="9" t="n">
        <v>34</v>
      </c>
      <c r="H103" s="9" t="n">
        <v>6.3</v>
      </c>
      <c r="I103" s="9" t="n">
        <v>5.111764705882353</v>
      </c>
      <c r="J103" s="9" t="n">
        <v>1.036847143049937</v>
      </c>
      <c r="K103" s="9" t="n">
        <v>6.477489526052113</v>
      </c>
      <c r="L103" s="9" t="n">
        <v>0.1857993837468088</v>
      </c>
      <c r="M103" s="9" t="n">
        <v>0.0783743081772663</v>
      </c>
      <c r="N103" s="9" t="n">
        <v>0.9849977940073762</v>
      </c>
      <c r="O103" s="9" t="n">
        <v>6.163381213996582</v>
      </c>
      <c r="P103" s="9" t="n">
        <v>0.1676815632876512</v>
      </c>
      <c r="Q103" s="9" t="n">
        <v>0.258691223287862</v>
      </c>
      <c r="R103" s="9" t="n">
        <v>0.0527054306208922</v>
      </c>
      <c r="S103" s="9" t="n">
        <v>0.0427461751752646</v>
      </c>
      <c r="T103" s="9" t="n">
        <v>630158329922.6494</v>
      </c>
      <c r="U103" s="9" t="n">
        <v>0.0007752799826625</v>
      </c>
      <c r="V103" s="9" t="n">
        <v>0.0011091917175041</v>
      </c>
      <c r="W103" s="9" t="n">
        <v>-1.392694264882369</v>
      </c>
      <c r="X103" s="9" t="n">
        <v>27.10074678674361</v>
      </c>
      <c r="Y103" s="9" t="n">
        <v>5.49831013936792</v>
      </c>
      <c r="Z103" s="9" t="n">
        <v>23.36427394162148</v>
      </c>
      <c r="AA103" s="9" t="n">
        <v>11.02143733239008</v>
      </c>
      <c r="AB103" s="9" t="n">
        <v>19.13913972131609</v>
      </c>
      <c r="AC103" s="9" t="n">
        <v>5.625262351461877</v>
      </c>
      <c r="AD103" s="9" t="n">
        <v>1.114364583332644</v>
      </c>
      <c r="AE103" s="9" t="n">
        <v>5548.780186342592</v>
      </c>
      <c r="AF103" s="9" t="n">
        <v>5548.780186342592</v>
      </c>
      <c r="AG103" s="9" t="n">
        <v>5548.780186342592</v>
      </c>
      <c r="AH103" s="8" t="inlineStr">
        <is>
          <t>Moderate (5.0-5.9)</t>
        </is>
      </c>
    </row>
    <row r="104">
      <c r="A104" s="8" t="inlineStr">
        <is>
          <t>1972-12-03 07:45:02.600</t>
        </is>
      </c>
      <c r="B104" s="8" t="n">
        <v>1972</v>
      </c>
      <c r="C104" s="9" t="n">
        <v>6.54</v>
      </c>
      <c r="D104" s="9" t="n">
        <v>126.78</v>
      </c>
      <c r="E104" s="8" t="n">
        <v>82</v>
      </c>
      <c r="F104" s="9" t="n">
        <v>5.3</v>
      </c>
      <c r="G104" s="9" t="n">
        <v>27</v>
      </c>
      <c r="H104" s="9" t="n">
        <v>6.3</v>
      </c>
      <c r="I104" s="9" t="n">
        <v>5.12962962962963</v>
      </c>
      <c r="J104" s="9" t="n">
        <v>0.9162536716383076</v>
      </c>
      <c r="K104" s="9" t="n">
        <v>5.744110742614619</v>
      </c>
      <c r="L104" s="9" t="n">
        <v>0.1711648282189307</v>
      </c>
      <c r="M104" s="9" t="n">
        <v>0.0771692212662652</v>
      </c>
      <c r="N104" s="9" t="n">
        <v>0.9418434547299452</v>
      </c>
      <c r="O104" s="9" t="n">
        <v>5.851828474035041</v>
      </c>
      <c r="P104" s="9" t="n">
        <v>0.1808591646859848</v>
      </c>
      <c r="Q104" s="9" t="n">
        <v>0.2467097433607431</v>
      </c>
      <c r="R104" s="9" t="n">
        <v>0.0308728789660843</v>
      </c>
      <c r="S104" s="9" t="n">
        <v>0.0868353337838554</v>
      </c>
      <c r="T104" s="9" t="n">
        <v>613499406996.4841</v>
      </c>
      <c r="U104" s="9" t="n">
        <v>0.0017833598509767</v>
      </c>
      <c r="V104" s="9" t="n">
        <v>0.0014944095553797</v>
      </c>
      <c r="W104" s="9" t="n">
        <v>-1.513291893859523</v>
      </c>
      <c r="X104" s="9" t="n">
        <v>22.58167660175842</v>
      </c>
      <c r="Y104" s="9" t="n">
        <v>5.49831013936792</v>
      </c>
      <c r="Z104" s="9" t="n">
        <v>22.60311841085364</v>
      </c>
      <c r="AA104" s="9" t="n">
        <v>10.75525752752758</v>
      </c>
      <c r="AB104" s="9" t="n">
        <v>18.65200024492196</v>
      </c>
      <c r="AC104" s="9" t="n">
        <v>7.722960999034488</v>
      </c>
      <c r="AD104" s="9" t="n">
        <v>1.309150462962862</v>
      </c>
      <c r="AE104" s="9" t="n">
        <v>6278.531719907405</v>
      </c>
      <c r="AF104" s="9" t="n">
        <v>13299.53460185185</v>
      </c>
      <c r="AG104" s="9" t="n">
        <v>17764.64030787037</v>
      </c>
      <c r="AH104" s="8" t="inlineStr">
        <is>
          <t>Moderate (5.0-5.9)</t>
        </is>
      </c>
    </row>
    <row r="105">
      <c r="A105" s="8" t="inlineStr">
        <is>
          <t>1972-12-03 09:25:20.600</t>
        </is>
      </c>
      <c r="B105" s="8" t="n">
        <v>1972</v>
      </c>
      <c r="C105" s="9" t="n">
        <v>6.2</v>
      </c>
      <c r="D105" s="9" t="n">
        <v>127.2</v>
      </c>
      <c r="E105" s="8" t="n">
        <v>68</v>
      </c>
      <c r="F105" s="9" t="n">
        <v>5</v>
      </c>
      <c r="G105" s="9" t="n">
        <v>36</v>
      </c>
      <c r="H105" s="9" t="n">
        <v>6.3</v>
      </c>
      <c r="I105" s="9" t="n">
        <v>5.11388888888889</v>
      </c>
      <c r="J105" s="9" t="n">
        <v>1.065780415246772</v>
      </c>
      <c r="K105" s="9" t="n">
        <v>6.650818012138086</v>
      </c>
      <c r="L105" s="9" t="n">
        <v>0.1859483574513032</v>
      </c>
      <c r="M105" s="9" t="n">
        <v>0.07591248561394801</v>
      </c>
      <c r="N105" s="9" t="n">
        <v>1.042306756567806</v>
      </c>
      <c r="O105" s="9" t="n">
        <v>6.499176380200216</v>
      </c>
      <c r="P105" s="9" t="n">
        <v>0.1778475888536114</v>
      </c>
      <c r="Q105" s="9" t="n">
        <v>0.2914275349935855</v>
      </c>
      <c r="R105" s="9" t="n">
        <v>0.0596732713481591</v>
      </c>
      <c r="S105" s="9" t="n">
        <v>0.0646222292550007</v>
      </c>
      <c r="T105" s="9" t="n">
        <v>633693056041.668</v>
      </c>
      <c r="U105" s="9" t="n">
        <v>0.0006348319183276</v>
      </c>
      <c r="V105" s="9" t="n">
        <v>0.0007465858083765999</v>
      </c>
      <c r="W105" s="9" t="n">
        <v>-1.545857123760316</v>
      </c>
      <c r="X105" s="9" t="n">
        <v>27.99545632975874</v>
      </c>
      <c r="Y105" s="9" t="n">
        <v>5.49831013936792</v>
      </c>
      <c r="Z105" s="9" t="n">
        <v>23.3611414031767</v>
      </c>
      <c r="AA105" s="9" t="n">
        <v>10.86120860861034</v>
      </c>
      <c r="AB105" s="9" t="n">
        <v>19.28582903230448</v>
      </c>
      <c r="AC105" s="9" t="n">
        <v>4.647948498383764</v>
      </c>
      <c r="AD105" s="9" t="n">
        <v>1.378803240739217</v>
      </c>
      <c r="AE105" s="9" t="n">
        <v>5549.044624999999</v>
      </c>
      <c r="AF105" s="9" t="n">
        <v>5549.044624999999</v>
      </c>
      <c r="AG105" s="9" t="n">
        <v>5549.044624999999</v>
      </c>
      <c r="AH105" s="8" t="inlineStr">
        <is>
          <t>Moderate (5.0-5.9)</t>
        </is>
      </c>
    </row>
    <row r="106">
      <c r="A106" s="8" t="inlineStr">
        <is>
          <t>1972-12-03 19:25:32.400</t>
        </is>
      </c>
      <c r="B106" s="8" t="n">
        <v>1972</v>
      </c>
      <c r="C106" s="9" t="n">
        <v>5.79</v>
      </c>
      <c r="D106" s="9" t="n">
        <v>127.27</v>
      </c>
      <c r="E106" s="8" t="n">
        <v>58</v>
      </c>
      <c r="F106" s="9" t="n">
        <v>5.3</v>
      </c>
      <c r="G106" s="9" t="n">
        <v>34</v>
      </c>
      <c r="H106" s="9" t="n">
        <v>6</v>
      </c>
      <c r="I106" s="9" t="n">
        <v>5.029411764705882</v>
      </c>
      <c r="J106" s="9" t="n">
        <v>1.357942344668421</v>
      </c>
      <c r="K106" s="9" t="n">
        <v>8.010174687254059</v>
      </c>
      <c r="L106" s="9" t="n">
        <v>0.2598157390639793</v>
      </c>
      <c r="M106" s="9" t="n">
        <v>0.1394429711567796</v>
      </c>
      <c r="N106" s="9" t="n">
        <v>1.240841376866435</v>
      </c>
      <c r="O106" s="9" t="n">
        <v>7.355465146697406</v>
      </c>
      <c r="P106" s="9" t="n">
        <v>0.2169378480539782</v>
      </c>
      <c r="Q106" s="9" t="n">
        <v>0.3469492760606987</v>
      </c>
      <c r="R106" s="9" t="n">
        <v>0.1012409556975955</v>
      </c>
      <c r="S106" s="9" t="n">
        <v>0.0721954604120576</v>
      </c>
      <c r="T106" s="9" t="n">
        <v>367223704883.6666</v>
      </c>
      <c r="U106" s="9" t="n">
        <v>8.436706986813305e-05</v>
      </c>
      <c r="V106" s="9" t="n">
        <v>0.0001894418252328</v>
      </c>
      <c r="W106" s="9" t="n">
        <v>-1.4924343564409</v>
      </c>
      <c r="X106" s="9" t="n">
        <v>27.10074678674361</v>
      </c>
      <c r="Y106" s="9" t="n">
        <v>5.49831013936792</v>
      </c>
      <c r="Z106" s="9" t="n">
        <v>23.79284626746906</v>
      </c>
      <c r="AA106" s="9" t="n">
        <v>11.82099325130331</v>
      </c>
      <c r="AB106" s="9" t="n">
        <v>21.31587950867108</v>
      </c>
      <c r="AC106" s="9" t="n">
        <v>4.49510413028572</v>
      </c>
      <c r="AD106" s="9" t="n">
        <v>1.795606481482537</v>
      </c>
      <c r="AE106" s="9" t="n">
        <v>5549.461428240742</v>
      </c>
      <c r="AF106" s="9" t="n">
        <v>5549.461428240742</v>
      </c>
      <c r="AG106" s="9" t="n">
        <v>5549.461428240742</v>
      </c>
      <c r="AH106" s="8" t="inlineStr">
        <is>
          <t>Moderate (5.0-5.9)</t>
        </is>
      </c>
    </row>
    <row r="107">
      <c r="A107" s="8" t="inlineStr">
        <is>
          <t>1972-12-03 20:35:46.300</t>
        </is>
      </c>
      <c r="B107" s="8" t="n">
        <v>1972</v>
      </c>
      <c r="C107" s="9" t="n">
        <v>5.47</v>
      </c>
      <c r="D107" s="9" t="n">
        <v>127.41</v>
      </c>
      <c r="E107" s="8" t="n">
        <v>66</v>
      </c>
      <c r="F107" s="9" t="n">
        <v>5.2</v>
      </c>
      <c r="G107" s="9" t="n">
        <v>31</v>
      </c>
      <c r="H107" s="9" t="n">
        <v>5.6</v>
      </c>
      <c r="I107" s="9" t="n">
        <v>4.990322580645161</v>
      </c>
      <c r="J107" s="9" t="n">
        <v>1.352182518111366</v>
      </c>
      <c r="K107" s="9" t="n">
        <v>7.813046097954834</v>
      </c>
      <c r="L107" s="9" t="n">
        <v>0.2302146831866301</v>
      </c>
      <c r="M107" s="9" t="n">
        <v>0.0574129610908639</v>
      </c>
      <c r="N107" s="9" t="n">
        <v>1.737177927613014</v>
      </c>
      <c r="O107" s="9" t="n">
        <v>9.811476473971316</v>
      </c>
      <c r="P107" s="9" t="n">
        <v>0.3799714720121011</v>
      </c>
      <c r="Q107" s="9" t="n">
        <v>0.6223730478788631</v>
      </c>
      <c r="R107" s="9" t="n">
        <v>-0.178100214509171</v>
      </c>
      <c r="S107" s="9" t="n">
        <v>-0.0479398673070132</v>
      </c>
      <c r="T107" s="9" t="n">
        <v>243816462700.9016</v>
      </c>
      <c r="U107" s="9" t="n">
        <v>8.779149519890051e-05</v>
      </c>
      <c r="V107" s="9" t="n">
        <v>6.144212353327941e-06</v>
      </c>
      <c r="W107" s="9" t="n">
        <v>-1.49669410371433</v>
      </c>
      <c r="X107" s="9" t="n">
        <v>27.40419832296616</v>
      </c>
      <c r="Y107" s="9" t="n">
        <v>6.71073524824245</v>
      </c>
      <c r="Z107" s="9" t="n">
        <v>24.29838649196456</v>
      </c>
      <c r="AA107" s="9" t="n">
        <v>11.80103725236456</v>
      </c>
      <c r="AB107" s="9" t="n">
        <v>24.38894091694016</v>
      </c>
      <c r="AC107" s="9" t="n">
        <v>2.776931347503957</v>
      </c>
      <c r="AD107" s="9" t="n">
        <v>1398.954200231481</v>
      </c>
      <c r="AE107" s="9" t="n">
        <v>5549.510200231482</v>
      </c>
      <c r="AF107" s="9" t="n">
        <v>5549.510200231482</v>
      </c>
      <c r="AG107" s="9" t="n">
        <v>5549.510200231482</v>
      </c>
      <c r="AH107" s="8" t="inlineStr">
        <is>
          <t>Moderate (5.0-5.9)</t>
        </is>
      </c>
    </row>
    <row r="108">
      <c r="A108" s="8" t="inlineStr">
        <is>
          <t>1972-12-05 06:03:07.300</t>
        </is>
      </c>
      <c r="B108" s="8" t="n">
        <v>1972</v>
      </c>
      <c r="C108" s="9" t="n">
        <v>5.77</v>
      </c>
      <c r="D108" s="9" t="n">
        <v>126.95</v>
      </c>
      <c r="E108" s="8" t="n">
        <v>77</v>
      </c>
      <c r="F108" s="9" t="n">
        <v>5.1</v>
      </c>
      <c r="G108" s="9" t="n">
        <v>43</v>
      </c>
      <c r="H108" s="9" t="n">
        <v>6.3</v>
      </c>
      <c r="I108" s="9" t="n">
        <v>5.058139534883722</v>
      </c>
      <c r="J108" s="9" t="n">
        <v>1.064956622939343</v>
      </c>
      <c r="K108" s="9" t="n">
        <v>6.644145386310499</v>
      </c>
      <c r="L108" s="9" t="n">
        <v>0.1663483078185129</v>
      </c>
      <c r="M108" s="9" t="n">
        <v>0.07686504166685861</v>
      </c>
      <c r="N108" s="9" t="n">
        <v>1.1405713666146</v>
      </c>
      <c r="O108" s="9" t="n">
        <v>7.044914458702755</v>
      </c>
      <c r="P108" s="9" t="n">
        <v>0.1908092740313356</v>
      </c>
      <c r="Q108" s="9" t="n">
        <v>0.3191698130748646</v>
      </c>
      <c r="R108" s="9" t="n">
        <v>0.061111726811684</v>
      </c>
      <c r="S108" s="9" t="n">
        <v>0.1233462061973362</v>
      </c>
      <c r="T108" s="9" t="n">
        <v>635922227287.0311</v>
      </c>
      <c r="U108" s="9" t="n">
        <v>0.0006384547629169</v>
      </c>
      <c r="V108" s="9" t="n">
        <v>0.0003786917990633</v>
      </c>
      <c r="W108" s="9" t="n">
        <v>-2.250722867137919</v>
      </c>
      <c r="X108" s="9" t="n">
        <v>29.92527429891293</v>
      </c>
      <c r="Y108" s="9" t="n">
        <v>5.49831013936792</v>
      </c>
      <c r="Z108" s="9" t="n">
        <v>23.74808903629953</v>
      </c>
      <c r="AA108" s="9" t="n">
        <v>12.12876978626535</v>
      </c>
      <c r="AB108" s="9" t="n">
        <v>19.2376852438323</v>
      </c>
      <c r="AC108" s="9" t="n">
        <v>5.404362520257051</v>
      </c>
      <c r="AD108" s="9" t="n">
        <v>3.238371527779236</v>
      </c>
      <c r="AE108" s="9" t="n">
        <v>5550.904193287039</v>
      </c>
      <c r="AF108" s="9" t="n">
        <v>5550.904193287039</v>
      </c>
      <c r="AG108" s="9" t="n">
        <v>5550.904193287039</v>
      </c>
      <c r="AH108" s="8" t="inlineStr">
        <is>
          <t>Moderate (5.0-5.9)</t>
        </is>
      </c>
    </row>
    <row r="109">
      <c r="A109" s="8" t="inlineStr">
        <is>
          <t>1972-12-05 15:17:45.700</t>
        </is>
      </c>
      <c r="B109" s="8" t="n">
        <v>1972</v>
      </c>
      <c r="C109" s="9" t="n">
        <v>6.01</v>
      </c>
      <c r="D109" s="9" t="n">
        <v>127.7</v>
      </c>
      <c r="E109" s="8" t="n">
        <v>44</v>
      </c>
      <c r="F109" s="9" t="n">
        <v>5.2</v>
      </c>
      <c r="G109" s="9" t="n">
        <v>38</v>
      </c>
      <c r="H109" s="9" t="n">
        <v>5.6</v>
      </c>
      <c r="I109" s="9" t="n">
        <v>4.971052631578948</v>
      </c>
      <c r="J109" s="9" t="n">
        <v>1.486076097372593</v>
      </c>
      <c r="K109" s="9" t="n">
        <v>8.549460783891581</v>
      </c>
      <c r="L109" s="9" t="n">
        <v>0.2392028362710677</v>
      </c>
      <c r="M109" s="9" t="n">
        <v>0.060214175757828</v>
      </c>
      <c r="N109" s="9" t="n">
        <v>1.961329918272749</v>
      </c>
      <c r="O109" s="9" t="n">
        <v>11.04401361503255</v>
      </c>
      <c r="P109" s="9" t="n">
        <v>0.416663572681168</v>
      </c>
      <c r="Q109" s="9" t="n">
        <v>0.743097469666786</v>
      </c>
      <c r="R109" s="9" t="n">
        <v>-0.153043736459506</v>
      </c>
      <c r="S109" s="9" t="n">
        <v>-0.0308801044336775</v>
      </c>
      <c r="T109" s="9" t="n">
        <v>255905741114.8658</v>
      </c>
      <c r="U109" s="9" t="n">
        <v>3.481542554547758e-05</v>
      </c>
      <c r="V109" s="9" t="n">
        <v>1.306201701592639e-06</v>
      </c>
      <c r="W109" s="9" t="n">
        <v>-2.025406805378299</v>
      </c>
      <c r="X109" s="9" t="n">
        <v>29.62180386443357</v>
      </c>
      <c r="Y109" s="9" t="n">
        <v>5.49831013936792</v>
      </c>
      <c r="Z109" s="9" t="n">
        <v>24.79837452461976</v>
      </c>
      <c r="AA109" s="9" t="n">
        <v>12.90369194135811</v>
      </c>
      <c r="AB109" s="9" t="n">
        <v>25.18349269907626</v>
      </c>
      <c r="AC109" s="9" t="n">
        <v>4.305051984580913</v>
      </c>
      <c r="AD109" s="9" t="n">
        <v>4230.204765046299</v>
      </c>
      <c r="AE109" s="9" t="n">
        <v>5551.289359953706</v>
      </c>
      <c r="AF109" s="9" t="n">
        <v>5551.289359953706</v>
      </c>
      <c r="AG109" s="9" t="n">
        <v>5551.289359953706</v>
      </c>
      <c r="AH109" s="8" t="inlineStr">
        <is>
          <t>Moderate (5.0-5.9)</t>
        </is>
      </c>
    </row>
    <row r="110">
      <c r="A110" s="8" t="inlineStr">
        <is>
          <t>1972-12-06 10:23:59.100</t>
        </is>
      </c>
      <c r="B110" s="8" t="n">
        <v>1972</v>
      </c>
      <c r="C110" s="9" t="n">
        <v>6.1</v>
      </c>
      <c r="D110" s="9" t="n">
        <v>126.97</v>
      </c>
      <c r="E110" s="8" t="n">
        <v>80</v>
      </c>
      <c r="F110" s="9" t="n">
        <v>5.2</v>
      </c>
      <c r="G110" s="9" t="n">
        <v>50</v>
      </c>
      <c r="H110" s="9" t="n">
        <v>6.3</v>
      </c>
      <c r="I110" s="9" t="n">
        <v>5.052</v>
      </c>
      <c r="J110" s="9" t="n">
        <v>1.129751481915991</v>
      </c>
      <c r="K110" s="9" t="n">
        <v>7.032683461341153</v>
      </c>
      <c r="L110" s="9" t="n">
        <v>0.1650500790784227</v>
      </c>
      <c r="M110" s="9" t="n">
        <v>0.0733807188093986</v>
      </c>
      <c r="N110" s="9" t="n">
        <v>1.240841376866438</v>
      </c>
      <c r="O110" s="9" t="n">
        <v>7.629321017682816</v>
      </c>
      <c r="P110" s="9" t="n">
        <v>0.1991051214735605</v>
      </c>
      <c r="Q110" s="9" t="n">
        <v>0.3680778891522236</v>
      </c>
      <c r="R110" s="9" t="n">
        <v>0.07501727245876651</v>
      </c>
      <c r="S110" s="9" t="n">
        <v>0.1514937042561062</v>
      </c>
      <c r="T110" s="9" t="n">
        <v>644950785431.8883</v>
      </c>
      <c r="U110" s="9" t="n">
        <v>0.0004080802290172</v>
      </c>
      <c r="V110" s="9" t="n">
        <v>0.0001894418252328</v>
      </c>
      <c r="W110" s="9" t="n">
        <v>-2.294962730107892</v>
      </c>
      <c r="X110" s="9" t="n">
        <v>32.97540972293127</v>
      </c>
      <c r="Y110" s="9" t="n">
        <v>5.49831013936792</v>
      </c>
      <c r="Z110" s="9" t="n">
        <v>26.37127900938241</v>
      </c>
      <c r="AA110" s="9" t="n">
        <v>13.6688884066468</v>
      </c>
      <c r="AB110" s="9" t="n">
        <v>20.04392863405882</v>
      </c>
      <c r="AC110" s="9" t="n">
        <v>6.367722583518786</v>
      </c>
      <c r="AD110" s="9" t="n">
        <v>4.419526620367833</v>
      </c>
      <c r="AE110" s="9" t="n">
        <v>5552.085348379627</v>
      </c>
      <c r="AF110" s="9" t="n">
        <v>5552.085348379627</v>
      </c>
      <c r="AG110" s="9" t="n">
        <v>5552.085348379627</v>
      </c>
      <c r="AH110" s="8" t="inlineStr">
        <is>
          <t>Moderate (5.0-5.9)</t>
        </is>
      </c>
    </row>
    <row r="111">
      <c r="A111" s="8" t="inlineStr">
        <is>
          <t>1972-12-07 14:00:49.200</t>
        </is>
      </c>
      <c r="B111" s="8" t="n">
        <v>1972</v>
      </c>
      <c r="C111" s="9" t="n">
        <v>6.03</v>
      </c>
      <c r="D111" s="9" t="n">
        <v>127.48</v>
      </c>
      <c r="E111" s="8" t="n">
        <v>56</v>
      </c>
      <c r="F111" s="9" t="n">
        <v>5.4</v>
      </c>
      <c r="G111" s="9" t="n">
        <v>49</v>
      </c>
      <c r="H111" s="9" t="n">
        <v>5.6</v>
      </c>
      <c r="I111" s="9" t="n">
        <v>4.977551020408163</v>
      </c>
      <c r="J111" s="9" t="n">
        <v>1.650553797123682</v>
      </c>
      <c r="K111" s="9" t="n">
        <v>9.6414515926439</v>
      </c>
      <c r="L111" s="9" t="n">
        <v>0.2742399354629195</v>
      </c>
      <c r="M111" s="9" t="n">
        <v>0.0549227181486112</v>
      </c>
      <c r="N111" s="9" t="n">
        <v>1.869115491735521</v>
      </c>
      <c r="O111" s="9" t="n">
        <v>10.76293792922943</v>
      </c>
      <c r="P111" s="9" t="n">
        <v>0.3516767069589916</v>
      </c>
      <c r="Q111" s="9" t="n">
        <v>0.7423874033605595</v>
      </c>
      <c r="R111" s="9" t="n">
        <v>-0.2413434384540878</v>
      </c>
      <c r="S111" s="9" t="n">
        <v>-0.1583054534718844</v>
      </c>
      <c r="T111" s="9" t="n">
        <v>305339127188.8672</v>
      </c>
      <c r="U111" s="9" t="n">
        <v>1.117734377890991e-05</v>
      </c>
      <c r="V111" s="9" t="n">
        <v>2.469753017933825e-06</v>
      </c>
      <c r="W111" s="9" t="n">
        <v>-2.5682978499687</v>
      </c>
      <c r="X111" s="9" t="n">
        <v>33.25198327446248</v>
      </c>
      <c r="Y111" s="9" t="n">
        <v>5.49831013936792</v>
      </c>
      <c r="Z111" s="9" t="n">
        <v>26.4441475531824</v>
      </c>
      <c r="AA111" s="9" t="n">
        <v>13.02887547953916</v>
      </c>
      <c r="AB111" s="9" t="n">
        <v>26.0900728039736</v>
      </c>
      <c r="AC111" s="9" t="n">
        <v>2.565215964430862</v>
      </c>
      <c r="AD111" s="9" t="n">
        <v>4232.151333333335</v>
      </c>
      <c r="AE111" s="9" t="n">
        <v>5553.235928240741</v>
      </c>
      <c r="AF111" s="9" t="n">
        <v>5553.235928240741</v>
      </c>
      <c r="AG111" s="9" t="n">
        <v>5553.235928240741</v>
      </c>
      <c r="AH111" s="8" t="inlineStr">
        <is>
          <t>Moderate (5.0-5.9)</t>
        </is>
      </c>
    </row>
    <row r="112">
      <c r="A112" s="8" t="inlineStr">
        <is>
          <t>1972-12-07 14:50:15.000</t>
        </is>
      </c>
      <c r="B112" s="8" t="n">
        <v>1972</v>
      </c>
      <c r="C112" s="9" t="n">
        <v>3.75</v>
      </c>
      <c r="D112" s="9" t="n">
        <v>128.49</v>
      </c>
      <c r="E112" s="8" t="n">
        <v>53</v>
      </c>
      <c r="F112" s="9" t="n">
        <v>5.4</v>
      </c>
      <c r="G112" s="9" t="n">
        <v>3</v>
      </c>
      <c r="H112" s="9" t="n">
        <v>5.7</v>
      </c>
      <c r="I112" s="9" t="n">
        <v>5.3</v>
      </c>
      <c r="J112" s="9" t="n">
        <v>0.6842962795654142</v>
      </c>
      <c r="K112" s="9" t="n">
        <v>3.795882751430917</v>
      </c>
      <c r="L112" s="9" t="n">
        <v>0.2241956812569041</v>
      </c>
      <c r="M112" s="9" t="n">
        <v>0.0975660953999874</v>
      </c>
      <c r="N112" s="9" t="n">
        <v>1.240841376866435</v>
      </c>
      <c r="O112" s="9" t="n">
        <v>6.681328139051837</v>
      </c>
      <c r="P112" s="9" t="n">
        <v>0.7371763923041442</v>
      </c>
      <c r="Q112" s="9" t="n">
        <v>0.1944009875496115</v>
      </c>
      <c r="R112" s="9" t="n">
        <v>0.1528665948006864</v>
      </c>
      <c r="S112" s="9" t="n">
        <v>0.3154856989661621</v>
      </c>
      <c r="T112" s="9" t="n">
        <v>146587435474.0797</v>
      </c>
      <c r="U112" s="9" t="n">
        <v>0.0088534219156808</v>
      </c>
      <c r="V112" s="9" t="n">
        <v>0.0001894418252328</v>
      </c>
      <c r="W112" s="9" t="n">
        <v>0.6123724356957945</v>
      </c>
      <c r="X112" s="9" t="n">
        <v>7.410849195313975</v>
      </c>
      <c r="Y112" s="9" t="n">
        <v>137.862974056795</v>
      </c>
      <c r="Z112" s="9" t="n">
        <v>153.9672191147583</v>
      </c>
      <c r="AA112" s="9" t="n">
        <v>14.53144406621199</v>
      </c>
      <c r="AB112" s="9" t="n">
        <v>162.968210104811</v>
      </c>
      <c r="AC112" s="9" t="n">
        <v>-0.3593183870246515</v>
      </c>
      <c r="AD112" s="9" t="n">
        <v>366.3521203703713</v>
      </c>
      <c r="AE112" s="9" t="n">
        <v>43535.17270833333</v>
      </c>
      <c r="AF112" s="9" t="n">
        <v>43535.17270833333</v>
      </c>
      <c r="AG112" s="9" t="n">
        <v>43535.17270833333</v>
      </c>
      <c r="AH112" s="8" t="inlineStr">
        <is>
          <t>Moderate (5.0-5.9)</t>
        </is>
      </c>
    </row>
    <row r="113">
      <c r="A113" s="8" t="inlineStr">
        <is>
          <t>1972-12-08 08:12:55.900</t>
        </is>
      </c>
      <c r="B113" s="8" t="n">
        <v>1972</v>
      </c>
      <c r="C113" s="9" t="n">
        <v>6.12</v>
      </c>
      <c r="D113" s="9" t="n">
        <v>127.34</v>
      </c>
      <c r="E113" s="8" t="n">
        <v>74</v>
      </c>
      <c r="F113" s="9" t="n">
        <v>5.1</v>
      </c>
      <c r="G113" s="9" t="n">
        <v>54</v>
      </c>
      <c r="H113" s="9" t="n">
        <v>6.3</v>
      </c>
      <c r="I113" s="9" t="n">
        <v>5.05</v>
      </c>
      <c r="J113" s="9" t="n">
        <v>1.17506775847984</v>
      </c>
      <c r="K113" s="9" t="n">
        <v>7.305193270894909</v>
      </c>
      <c r="L113" s="9" t="n">
        <v>0.1688990739339232</v>
      </c>
      <c r="M113" s="9" t="n">
        <v>0.0753849230733326</v>
      </c>
      <c r="N113" s="9" t="n">
        <v>1.273930480249542</v>
      </c>
      <c r="O113" s="9" t="n">
        <v>7.839468130094874</v>
      </c>
      <c r="P113" s="9" t="n">
        <v>0.1985148067531236</v>
      </c>
      <c r="Q113" s="9" t="n">
        <v>0.3863468454932626</v>
      </c>
      <c r="R113" s="9" t="n">
        <v>0.0831727420166101</v>
      </c>
      <c r="S113" s="9" t="n">
        <v>0.1462355272642126</v>
      </c>
      <c r="T113" s="9" t="n">
        <v>651405987106.1456</v>
      </c>
      <c r="U113" s="9" t="n">
        <v>0.000298398561069</v>
      </c>
      <c r="V113" s="9" t="n">
        <v>0.0001507330750954</v>
      </c>
      <c r="W113" s="9" t="n">
        <v>-2.823911443938841</v>
      </c>
      <c r="X113" s="9" t="n">
        <v>35.07118254599188</v>
      </c>
      <c r="Y113" s="9" t="n">
        <v>5.49831013936792</v>
      </c>
      <c r="Z113" s="9" t="n">
        <v>25.54678192825054</v>
      </c>
      <c r="AA113" s="9" t="n">
        <v>12.75332940354423</v>
      </c>
      <c r="AB113" s="9" t="n">
        <v>20.1126393315748</v>
      </c>
      <c r="AC113" s="9" t="n">
        <v>2.043331985177175</v>
      </c>
      <c r="AD113" s="9" t="n">
        <v>6.328517361111153</v>
      </c>
      <c r="AE113" s="9" t="n">
        <v>5553.994339120371</v>
      </c>
      <c r="AF113" s="9" t="n">
        <v>5553.994339120371</v>
      </c>
      <c r="AG113" s="9" t="n">
        <v>5553.994339120371</v>
      </c>
      <c r="AH113" s="8" t="inlineStr">
        <is>
          <t>Moderate (5.0-5.9)</t>
        </is>
      </c>
    </row>
    <row r="114">
      <c r="A114" s="8" t="inlineStr">
        <is>
          <t>1972-12-08 09:15:36.600</t>
        </is>
      </c>
      <c r="B114" s="8" t="n">
        <v>1972</v>
      </c>
      <c r="C114" s="9" t="n">
        <v>5.88</v>
      </c>
      <c r="D114" s="9" t="n">
        <v>127.17</v>
      </c>
      <c r="E114" s="8" t="n">
        <v>90</v>
      </c>
      <c r="F114" s="9" t="n">
        <v>5</v>
      </c>
      <c r="G114" s="9" t="n">
        <v>55</v>
      </c>
      <c r="H114" s="9" t="n">
        <v>6.3</v>
      </c>
      <c r="I114" s="9" t="n">
        <v>5.032727272727273</v>
      </c>
      <c r="J114" s="9" t="n">
        <v>1.151097620869318</v>
      </c>
      <c r="K114" s="9" t="n">
        <v>7.159696561741157</v>
      </c>
      <c r="L114" s="9" t="n">
        <v>0.1618915569078542</v>
      </c>
      <c r="M114" s="9" t="n">
        <v>0.0760599135278502</v>
      </c>
      <c r="N114" s="9" t="n">
        <v>1.327010916926607</v>
      </c>
      <c r="O114" s="9" t="n">
        <v>8.110178357147902</v>
      </c>
      <c r="P114" s="9" t="n">
        <v>0.2151537294344279</v>
      </c>
      <c r="Q114" s="9" t="n">
        <v>0.4103264321308189</v>
      </c>
      <c r="R114" s="9" t="n">
        <v>0.080113491734874</v>
      </c>
      <c r="S114" s="9" t="n">
        <v>0.1883861061736444</v>
      </c>
      <c r="T114" s="9" t="n">
        <v>648597273399.1265</v>
      </c>
      <c r="U114" s="9" t="n">
        <v>0.0003521333329902</v>
      </c>
      <c r="V114" s="9" t="n">
        <v>0.0001044641438317</v>
      </c>
      <c r="W114" s="9" t="n">
        <v>-3.038411267675282</v>
      </c>
      <c r="X114" s="9" t="n">
        <v>35.42411339270859</v>
      </c>
      <c r="Y114" s="9" t="n">
        <v>2.72038073789797</v>
      </c>
      <c r="Z114" s="9" t="n">
        <v>25.74998861081738</v>
      </c>
      <c r="AA114" s="9" t="n">
        <v>13.69970368294682</v>
      </c>
      <c r="AB114" s="9" t="n">
        <v>19.96827436783848</v>
      </c>
      <c r="AC114" s="9" t="n">
        <v>1.140130507050321</v>
      </c>
      <c r="AD114" s="9" t="n">
        <v>6.37204398148242</v>
      </c>
      <c r="AE114" s="9" t="n">
        <v>5554.037865740742</v>
      </c>
      <c r="AF114" s="9" t="n">
        <v>5554.037865740742</v>
      </c>
      <c r="AG114" s="9" t="n">
        <v>5554.037865740742</v>
      </c>
      <c r="AH114" s="8" t="inlineStr">
        <is>
          <t>Moderate (5.0-5.9)</t>
        </is>
      </c>
    </row>
    <row r="115">
      <c r="A115" s="8" t="inlineStr">
        <is>
          <t>1972-12-08 10:18:12.800</t>
        </is>
      </c>
      <c r="B115" s="8" t="n">
        <v>1972</v>
      </c>
      <c r="C115" s="9" t="n">
        <v>5.69</v>
      </c>
      <c r="D115" s="9" t="n">
        <v>127.36</v>
      </c>
      <c r="E115" s="8" t="n">
        <v>64</v>
      </c>
      <c r="F115" s="9" t="n">
        <v>5</v>
      </c>
      <c r="G115" s="9" t="n">
        <v>48</v>
      </c>
      <c r="H115" s="9" t="n">
        <v>5.6</v>
      </c>
      <c r="I115" s="9" t="n">
        <v>4.96875</v>
      </c>
      <c r="J115" s="9" t="n">
        <v>1.939557487720992</v>
      </c>
      <c r="K115" s="9" t="n">
        <v>11.0743644285899</v>
      </c>
      <c r="L115" s="9" t="n">
        <v>0.3589668026242495</v>
      </c>
      <c r="M115" s="9" t="n">
        <v>0.0629770020495224</v>
      </c>
      <c r="N115" s="9" t="n">
        <v>2.171472409516267</v>
      </c>
      <c r="O115" s="9" t="n">
        <v>12.27862927118889</v>
      </c>
      <c r="P115" s="9" t="n">
        <v>0.4499431092568255</v>
      </c>
      <c r="Q115" s="9" t="n">
        <v>0.8982718298005851</v>
      </c>
      <c r="R115" s="9" t="n">
        <v>-0.109737658563775</v>
      </c>
      <c r="S115" s="9" t="n">
        <v>-0.0545177444479554</v>
      </c>
      <c r="T115" s="9" t="n">
        <v>282957567346.0597</v>
      </c>
      <c r="U115" s="9" t="n">
        <v>1.518194930237242e-06</v>
      </c>
      <c r="V115" s="9" t="n">
        <v>3.059023205018097e-07</v>
      </c>
      <c r="W115" s="9" t="n">
        <v>-3.399783585479176</v>
      </c>
      <c r="X115" s="9" t="n">
        <v>33.21874169953137</v>
      </c>
      <c r="Y115" s="9" t="n">
        <v>2.72038073789797</v>
      </c>
      <c r="Z115" s="9" t="n">
        <v>25.54625301314526</v>
      </c>
      <c r="AA115" s="9" t="n">
        <v>13.57936848798138</v>
      </c>
      <c r="AB115" s="9" t="n">
        <v>25.36920931401561</v>
      </c>
      <c r="AC115" s="9" t="n">
        <v>0.6424117142246993</v>
      </c>
      <c r="AD115" s="9" t="n">
        <v>1403.525340277778</v>
      </c>
      <c r="AE115" s="9" t="n">
        <v>5554.081340277779</v>
      </c>
      <c r="AF115" s="9" t="n">
        <v>5554.081340277779</v>
      </c>
      <c r="AG115" s="9" t="n">
        <v>5554.081340277779</v>
      </c>
      <c r="AH115" s="8" t="inlineStr">
        <is>
          <t>Moderate (5.0-5.9)</t>
        </is>
      </c>
    </row>
    <row r="116">
      <c r="A116" s="8" t="inlineStr">
        <is>
          <t>1972-12-08 13:12:57.000</t>
        </is>
      </c>
      <c r="B116" s="8" t="n">
        <v>1972</v>
      </c>
      <c r="C116" s="9" t="n">
        <v>6.11</v>
      </c>
      <c r="D116" s="9" t="n">
        <v>127.15</v>
      </c>
      <c r="E116" s="8" t="n">
        <v>66</v>
      </c>
      <c r="F116" s="9" t="n">
        <v>5</v>
      </c>
      <c r="G116" s="9" t="n">
        <v>60</v>
      </c>
      <c r="H116" s="9" t="n">
        <v>6.3</v>
      </c>
      <c r="I116" s="9" t="n">
        <v>5.023333333333335</v>
      </c>
      <c r="J116" s="9" t="n">
        <v>1.161397313855073</v>
      </c>
      <c r="K116" s="9" t="n">
        <v>7.224081966121293</v>
      </c>
      <c r="L116" s="9" t="n">
        <v>0.1554438607113013</v>
      </c>
      <c r="M116" s="9" t="n">
        <v>0.07801370505430499</v>
      </c>
      <c r="N116" s="9" t="n">
        <v>1.330271386009962</v>
      </c>
      <c r="O116" s="9" t="n">
        <v>8.147860128630073</v>
      </c>
      <c r="P116" s="9" t="n">
        <v>0.203935315353934</v>
      </c>
      <c r="Q116" s="9" t="n">
        <v>0.4014888904491745</v>
      </c>
      <c r="R116" s="9" t="n">
        <v>0.0798358236751024</v>
      </c>
      <c r="S116" s="9" t="n">
        <v>0.1750391729698837</v>
      </c>
      <c r="T116" s="9" t="n">
        <v>654452129499.8365</v>
      </c>
      <c r="U116" s="9" t="n">
        <v>0.0003279503195698</v>
      </c>
      <c r="V116" s="9" t="n">
        <v>0.0001021376454504</v>
      </c>
      <c r="W116" s="9" t="n">
        <v>-2.912712877702506</v>
      </c>
      <c r="X116" s="9" t="n">
        <v>37.13968228357952</v>
      </c>
      <c r="Y116" s="9" t="n">
        <v>2.72038073789797</v>
      </c>
      <c r="Z116" s="9" t="n">
        <v>24.88692143840196</v>
      </c>
      <c r="AA116" s="9" t="n">
        <v>13.61315158892095</v>
      </c>
      <c r="AB116" s="9" t="n">
        <v>19.99619201151836</v>
      </c>
      <c r="AC116" s="9" t="n">
        <v>-0.2143338730039422</v>
      </c>
      <c r="AD116" s="9" t="n">
        <v>6.536863425924821</v>
      </c>
      <c r="AE116" s="9" t="n">
        <v>5554.202685185184</v>
      </c>
      <c r="AF116" s="9" t="n">
        <v>5554.202685185184</v>
      </c>
      <c r="AG116" s="9" t="n">
        <v>5554.202685185184</v>
      </c>
      <c r="AH116" s="8" t="inlineStr">
        <is>
          <t>Moderate (5.0-5.9)</t>
        </is>
      </c>
    </row>
    <row r="117">
      <c r="A117" s="8" t="inlineStr">
        <is>
          <t>1972-12-08 16:55:40.400</t>
        </is>
      </c>
      <c r="B117" s="8" t="n">
        <v>1972</v>
      </c>
      <c r="C117" s="9" t="n">
        <v>7.24</v>
      </c>
      <c r="D117" s="9" t="n">
        <v>127.12</v>
      </c>
      <c r="E117" s="8" t="n">
        <v>57</v>
      </c>
      <c r="F117" s="9" t="n">
        <v>5.4</v>
      </c>
      <c r="G117" s="9" t="n">
        <v>6</v>
      </c>
      <c r="H117" s="9" t="n">
        <v>6.3</v>
      </c>
      <c r="I117" s="9" t="n">
        <v>5.25</v>
      </c>
      <c r="J117" s="9" t="n">
        <v>0.5353234674062961</v>
      </c>
      <c r="K117" s="9" t="n">
        <v>3.207823444543908</v>
      </c>
      <c r="L117" s="9" t="n">
        <v>0.1638972739943098</v>
      </c>
      <c r="M117" s="9" t="n">
        <v>0.1314737302946733</v>
      </c>
      <c r="N117" s="9" t="n">
        <v>0.5428681023790649</v>
      </c>
      <c r="O117" s="9" t="n">
        <v>3.207826882747474</v>
      </c>
      <c r="P117" s="9" t="n">
        <v>0.1685496341741341</v>
      </c>
      <c r="Q117" s="9" t="n">
        <v>0.1278177254478327</v>
      </c>
      <c r="R117" s="9" t="n">
        <v>0.3076913495196063</v>
      </c>
      <c r="S117" s="9" t="n">
        <v>0.3909645111040873</v>
      </c>
      <c r="T117" s="9" t="n">
        <v>479855626597.0577</v>
      </c>
      <c r="U117" s="9" t="n">
        <v>0.0247759090319208</v>
      </c>
      <c r="V117" s="9" t="n">
        <v>0.023517745856009</v>
      </c>
      <c r="W117" s="9" t="n">
        <v>-1.441153384245784</v>
      </c>
      <c r="X117" s="9" t="n">
        <v>9.247754350163095</v>
      </c>
      <c r="Y117" s="9" t="n">
        <v>5.49831013936792</v>
      </c>
      <c r="Z117" s="9" t="n">
        <v>22.71870675576375</v>
      </c>
      <c r="AA117" s="9" t="n">
        <v>10.66153310455166</v>
      </c>
      <c r="AB117" s="9" t="n">
        <v>19.11156949511282</v>
      </c>
      <c r="AC117" s="9" t="n">
        <v>2.450002251008609</v>
      </c>
      <c r="AD117" s="9" t="n">
        <v>6.691587962966878</v>
      </c>
      <c r="AE117" s="9" t="n">
        <v>10789.7417175926</v>
      </c>
      <c r="AF117" s="9" t="n">
        <v>10789.7417175926</v>
      </c>
      <c r="AG117" s="9" t="n">
        <v>10789.7417175926</v>
      </c>
      <c r="AH117" s="8" t="inlineStr">
        <is>
          <t>Moderate (5.0-5.9)</t>
        </is>
      </c>
    </row>
    <row r="118">
      <c r="A118" s="8" t="inlineStr">
        <is>
          <t>1972-12-08 19:38:56.700</t>
        </is>
      </c>
      <c r="B118" s="8" t="n">
        <v>1972</v>
      </c>
      <c r="C118" s="9" t="n">
        <v>6.12</v>
      </c>
      <c r="D118" s="9" t="n">
        <v>127.04</v>
      </c>
      <c r="E118" s="8" t="n">
        <v>73</v>
      </c>
      <c r="F118" s="9" t="n">
        <v>5.1</v>
      </c>
      <c r="G118" s="9" t="n">
        <v>61</v>
      </c>
      <c r="H118" s="9" t="n">
        <v>6.3</v>
      </c>
      <c r="I118" s="9" t="n">
        <v>5.022950819672133</v>
      </c>
      <c r="J118" s="9" t="n">
        <v>1.161397313855073</v>
      </c>
      <c r="K118" s="9" t="n">
        <v>7.224081966121293</v>
      </c>
      <c r="L118" s="9" t="n">
        <v>0.1528789694882312</v>
      </c>
      <c r="M118" s="9" t="n">
        <v>0.07801370505430499</v>
      </c>
      <c r="N118" s="9" t="n">
        <v>1.330271386009962</v>
      </c>
      <c r="O118" s="9" t="n">
        <v>8.147860128630073</v>
      </c>
      <c r="P118" s="9" t="n">
        <v>0.200570294065658</v>
      </c>
      <c r="Q118" s="9" t="n">
        <v>0.3976699437734375</v>
      </c>
      <c r="R118" s="9" t="n">
        <v>0.0798358236751024</v>
      </c>
      <c r="S118" s="9" t="n">
        <v>0.1750391729698837</v>
      </c>
      <c r="T118" s="9" t="n">
        <v>655215681899.3829</v>
      </c>
      <c r="U118" s="9" t="n">
        <v>0.0003279503195698</v>
      </c>
      <c r="V118" s="9" t="n">
        <v>0.0001021376454504</v>
      </c>
      <c r="W118" s="9" t="n">
        <v>-2.6940912082243</v>
      </c>
      <c r="X118" s="9" t="n">
        <v>37.16847918534021</v>
      </c>
      <c r="Y118" s="9" t="n">
        <v>2.72038073789797</v>
      </c>
      <c r="Z118" s="9" t="n">
        <v>24.78315232378733</v>
      </c>
      <c r="AA118" s="9" t="n">
        <v>13.52353926891604</v>
      </c>
      <c r="AB118" s="9" t="n">
        <v>19.98993780037694</v>
      </c>
      <c r="AC118" s="9" t="n">
        <v>-0.3075954122588643</v>
      </c>
      <c r="AD118" s="9" t="n">
        <v>6.804915509259445</v>
      </c>
      <c r="AE118" s="9" t="n">
        <v>5554.470737268519</v>
      </c>
      <c r="AF118" s="9" t="n">
        <v>5554.470737268519</v>
      </c>
      <c r="AG118" s="9" t="n">
        <v>5554.470737268519</v>
      </c>
      <c r="AH118" s="8" t="inlineStr">
        <is>
          <t>Moderate (5.0-5.9)</t>
        </is>
      </c>
    </row>
    <row r="119">
      <c r="A119" s="8" t="inlineStr">
        <is>
          <t>1972-12-08 20:17:12.900</t>
        </is>
      </c>
      <c r="B119" s="8" t="n">
        <v>1972</v>
      </c>
      <c r="C119" s="9" t="n">
        <v>5.67</v>
      </c>
      <c r="D119" s="9" t="n">
        <v>127.29</v>
      </c>
      <c r="E119" s="8" t="n">
        <v>63</v>
      </c>
      <c r="F119" s="9" t="n">
        <v>5.4</v>
      </c>
      <c r="G119" s="9" t="n">
        <v>53</v>
      </c>
      <c r="H119" s="9" t="n">
        <v>5.6</v>
      </c>
      <c r="I119" s="9" t="n">
        <v>4.958490566037736</v>
      </c>
      <c r="J119" s="9" t="n">
        <v>1.875061263391704</v>
      </c>
      <c r="K119" s="9" t="n">
        <v>10.72178506892312</v>
      </c>
      <c r="L119" s="9" t="n">
        <v>0.3144983658782807</v>
      </c>
      <c r="M119" s="9" t="n">
        <v>0.0686656802560239</v>
      </c>
      <c r="N119" s="9" t="n">
        <v>2.285760431069753</v>
      </c>
      <c r="O119" s="9" t="n">
        <v>12.88595424156272</v>
      </c>
      <c r="P119" s="9" t="n">
        <v>0.4673571487876178</v>
      </c>
      <c r="Q119" s="9" t="n">
        <v>0.9498558578823962</v>
      </c>
      <c r="R119" s="9" t="n">
        <v>-0.1180985380333758</v>
      </c>
      <c r="S119" s="9" t="n">
        <v>-0.0374911676688682</v>
      </c>
      <c r="T119" s="9" t="n">
        <v>289757896027.7498</v>
      </c>
      <c r="U119" s="9" t="n">
        <v>2.370370370370302e-06</v>
      </c>
      <c r="V119" s="9" t="n">
        <v>1.389052648230786e-07</v>
      </c>
      <c r="W119" s="9" t="n">
        <v>-3.223488089382696</v>
      </c>
      <c r="X119" s="9" t="n">
        <v>35.04440317047938</v>
      </c>
      <c r="Y119" s="9" t="n">
        <v>2.72038073789797</v>
      </c>
      <c r="Z119" s="9" t="n">
        <v>24.60165302199643</v>
      </c>
      <c r="AA119" s="9" t="n">
        <v>13.52473207079952</v>
      </c>
      <c r="AB119" s="9" t="n">
        <v>25.09947663999909</v>
      </c>
      <c r="AC119" s="9" t="n">
        <v>-0.4127638114612779</v>
      </c>
      <c r="AD119" s="9" t="n">
        <v>1403.941313657408</v>
      </c>
      <c r="AE119" s="9" t="n">
        <v>5554.497313657408</v>
      </c>
      <c r="AF119" s="9" t="n">
        <v>5554.497313657408</v>
      </c>
      <c r="AG119" s="9" t="n">
        <v>5554.497313657408</v>
      </c>
      <c r="AH119" s="8" t="inlineStr">
        <is>
          <t>Moderate (5.0-5.9)</t>
        </is>
      </c>
    </row>
    <row r="120">
      <c r="A120" s="8" t="inlineStr">
        <is>
          <t>1972-12-08 20:43:16.000</t>
        </is>
      </c>
      <c r="B120" s="8" t="n">
        <v>1972</v>
      </c>
      <c r="C120" s="9" t="n">
        <v>5.69</v>
      </c>
      <c r="D120" s="9" t="n">
        <v>127.37</v>
      </c>
      <c r="E120" s="8" t="n">
        <v>65</v>
      </c>
      <c r="F120" s="9" t="n">
        <v>5.3</v>
      </c>
      <c r="G120" s="9" t="n">
        <v>54</v>
      </c>
      <c r="H120" s="9" t="n">
        <v>5.6</v>
      </c>
      <c r="I120" s="9" t="n">
        <v>4.966666666666667</v>
      </c>
      <c r="J120" s="9" t="n">
        <v>2.024793423338767</v>
      </c>
      <c r="K120" s="9" t="n">
        <v>11.57138863019664</v>
      </c>
      <c r="L120" s="9" t="n">
        <v>0.3680422770715853</v>
      </c>
      <c r="M120" s="9" t="n">
        <v>0.08131742679993589</v>
      </c>
      <c r="N120" s="9" t="n">
        <v>2.221971767877114</v>
      </c>
      <c r="O120" s="9" t="n">
        <v>12.59564587811922</v>
      </c>
      <c r="P120" s="9" t="n">
        <v>0.4432138661402567</v>
      </c>
      <c r="Q120" s="9" t="n">
        <v>0.9319613005044192</v>
      </c>
      <c r="R120" s="9" t="n">
        <v>-0.114848980058464</v>
      </c>
      <c r="S120" s="9" t="n">
        <v>-0.06867953059240681</v>
      </c>
      <c r="T120" s="9" t="n">
        <v>298676602553.5416</v>
      </c>
      <c r="U120" s="9" t="n">
        <v>8.42596653607947e-07</v>
      </c>
      <c r="V120" s="9" t="n">
        <v>2.158165254788597e-07</v>
      </c>
      <c r="W120" s="9" t="n">
        <v>-3.012422413387688</v>
      </c>
      <c r="X120" s="9" t="n">
        <v>35.3984521118153</v>
      </c>
      <c r="Y120" s="9" t="n">
        <v>2.72038073789797</v>
      </c>
      <c r="Z120" s="9" t="n">
        <v>24.54344627913338</v>
      </c>
      <c r="AA120" s="9" t="n">
        <v>13.40335930985806</v>
      </c>
      <c r="AB120" s="9" t="n">
        <v>24.90687272943021</v>
      </c>
      <c r="AC120" s="9" t="n">
        <v>-0.4324804491965067</v>
      </c>
      <c r="AD120" s="9" t="n">
        <v>1403.959405092592</v>
      </c>
      <c r="AE120" s="9" t="n">
        <v>5554.515405092592</v>
      </c>
      <c r="AF120" s="9" t="n">
        <v>5554.515405092592</v>
      </c>
      <c r="AG120" s="9" t="n">
        <v>5554.515405092592</v>
      </c>
      <c r="AH120" s="8" t="inlineStr">
        <is>
          <t>Moderate (5.0-5.9)</t>
        </is>
      </c>
    </row>
    <row r="121">
      <c r="A121" s="8" t="inlineStr">
        <is>
          <t>1972-12-09 00:07:45.800</t>
        </is>
      </c>
      <c r="B121" s="8" t="n">
        <v>1972</v>
      </c>
      <c r="C121" s="9" t="n">
        <v>5.65</v>
      </c>
      <c r="D121" s="9" t="n">
        <v>127.45</v>
      </c>
      <c r="E121" s="8" t="n">
        <v>68</v>
      </c>
      <c r="F121" s="9" t="n">
        <v>5.1</v>
      </c>
      <c r="G121" s="9" t="n">
        <v>55</v>
      </c>
      <c r="H121" s="9" t="n">
        <v>5.6</v>
      </c>
      <c r="I121" s="9" t="n">
        <v>4.972727272727273</v>
      </c>
      <c r="J121" s="9" t="n">
        <v>2.158362492095254</v>
      </c>
      <c r="K121" s="9" t="n">
        <v>12.31181770305508</v>
      </c>
      <c r="L121" s="9" t="n">
        <v>0.4156310423640607</v>
      </c>
      <c r="M121" s="9" t="n">
        <v>0.0838668789761651</v>
      </c>
      <c r="N121" s="9" t="n">
        <v>2.265884253408283</v>
      </c>
      <c r="O121" s="9" t="n">
        <v>12.8617793637707</v>
      </c>
      <c r="P121" s="9" t="n">
        <v>0.4580729519568666</v>
      </c>
      <c r="Q121" s="9" t="n">
        <v>0.9794401152201052</v>
      </c>
      <c r="R121" s="9" t="n">
        <v>-0.1042400190633641</v>
      </c>
      <c r="S121" s="9" t="n">
        <v>-0.076273774542698</v>
      </c>
      <c r="T121" s="9" t="n">
        <v>304425822520.777</v>
      </c>
      <c r="U121" s="9" t="n">
        <v>3.348979766803732e-07</v>
      </c>
      <c r="V121" s="9" t="n">
        <v>1.593482285221906e-07</v>
      </c>
      <c r="W121" s="9" t="n">
        <v>-2.658525344875575</v>
      </c>
      <c r="X121" s="9" t="n">
        <v>36.42373213551146</v>
      </c>
      <c r="Y121" s="9" t="n">
        <v>2.72038073789797</v>
      </c>
      <c r="Z121" s="9" t="n">
        <v>24.35574642731568</v>
      </c>
      <c r="AA121" s="9" t="n">
        <v>13.35143835219387</v>
      </c>
      <c r="AB121" s="9" t="n">
        <v>24.52110009791802</v>
      </c>
      <c r="AC121" s="9" t="n">
        <v>-0.55559675539653</v>
      </c>
      <c r="AD121" s="9" t="n">
        <v>1404.101416666665</v>
      </c>
      <c r="AE121" s="9" t="n">
        <v>5554.657416666665</v>
      </c>
      <c r="AF121" s="9" t="n">
        <v>5554.657416666665</v>
      </c>
      <c r="AG121" s="9" t="n">
        <v>5554.657416666665</v>
      </c>
      <c r="AH121" s="8" t="inlineStr">
        <is>
          <t>Moderate (5.0-5.9)</t>
        </is>
      </c>
    </row>
    <row r="122">
      <c r="A122" s="8" t="inlineStr">
        <is>
          <t>1972-12-09 04:56:44.800</t>
        </is>
      </c>
      <c r="B122" s="8" t="n">
        <v>1972</v>
      </c>
      <c r="C122" s="9" t="n">
        <v>7.33</v>
      </c>
      <c r="D122" s="9" t="n">
        <v>127.06</v>
      </c>
      <c r="E122" s="8" t="n">
        <v>71</v>
      </c>
      <c r="F122" s="9" t="n">
        <v>5</v>
      </c>
      <c r="G122" s="9" t="n">
        <v>5</v>
      </c>
      <c r="H122" s="9" t="n">
        <v>5.4</v>
      </c>
      <c r="I122" s="9" t="n">
        <v>5.18</v>
      </c>
      <c r="J122" s="9" t="n">
        <v/>
      </c>
      <c r="K122" s="9" t="n">
        <v/>
      </c>
      <c r="L122" s="9" t="n">
        <v/>
      </c>
      <c r="M122" s="9" t="n">
        <v/>
      </c>
      <c r="N122" s="9" t="n">
        <v/>
      </c>
      <c r="O122" s="9" t="n">
        <v/>
      </c>
      <c r="P122" s="9" t="n">
        <v/>
      </c>
      <c r="Q122" s="9" t="n">
        <v/>
      </c>
      <c r="R122" s="9" t="n">
        <v/>
      </c>
      <c r="S122" s="9" t="n">
        <v/>
      </c>
      <c r="T122" s="9" t="n">
        <v>128237792534.3572</v>
      </c>
      <c r="U122" s="9" t="n">
        <v/>
      </c>
      <c r="V122" s="9" t="n">
        <v/>
      </c>
      <c r="W122" s="9" t="n">
        <v>-0.4082482904638629</v>
      </c>
      <c r="X122" s="9" t="n">
        <v>8.078943075289343</v>
      </c>
      <c r="Y122" s="9" t="n">
        <v>21.8095501618402</v>
      </c>
      <c r="Z122" s="9" t="n">
        <v>26.83108920753641</v>
      </c>
      <c r="AA122" s="9" t="n">
        <v>6.52291270751867</v>
      </c>
      <c r="AB122" s="9" t="n">
        <v>24.51965455033314</v>
      </c>
      <c r="AC122" s="9" t="n">
        <v>-0.7195435886993816</v>
      </c>
      <c r="AD122" s="9" t="n">
        <v>5212.455564814813</v>
      </c>
      <c r="AE122" s="9" t="n">
        <v>10790.24246296296</v>
      </c>
      <c r="AF122" s="9" t="n">
        <v>10790.24246296296</v>
      </c>
      <c r="AG122" s="9" t="n">
        <v>10790.24246296296</v>
      </c>
      <c r="AH122" s="8" t="inlineStr">
        <is>
          <t>Moderate (5.0-5.9)</t>
        </is>
      </c>
    </row>
    <row r="123">
      <c r="A123" s="8" t="inlineStr">
        <is>
          <t>1972-12-09 06:03:41.300</t>
        </is>
      </c>
      <c r="B123" s="8" t="n">
        <v>1972</v>
      </c>
      <c r="C123" s="9" t="n">
        <v>7.34</v>
      </c>
      <c r="D123" s="9" t="n">
        <v>126.78</v>
      </c>
      <c r="E123" s="8" t="n">
        <v>92</v>
      </c>
      <c r="F123" s="9" t="n">
        <v>5</v>
      </c>
      <c r="G123" s="9" t="n">
        <v>7</v>
      </c>
      <c r="H123" s="9" t="n">
        <v>6.3</v>
      </c>
      <c r="I123" s="9" t="n">
        <v>5.314285714285715</v>
      </c>
      <c r="J123" s="9" t="n">
        <v>-0</v>
      </c>
      <c r="K123" s="9" t="n">
        <v>0</v>
      </c>
      <c r="L123" s="9" t="n">
        <v>0</v>
      </c>
      <c r="M123" s="9" t="n">
        <v>0</v>
      </c>
      <c r="N123" s="9" t="n">
        <v/>
      </c>
      <c r="O123" s="9" t="n">
        <v/>
      </c>
      <c r="P123" s="9" t="n">
        <v/>
      </c>
      <c r="Q123" s="9" t="n">
        <v/>
      </c>
      <c r="R123" s="9" t="n">
        <v/>
      </c>
      <c r="S123" s="9" t="n">
        <v/>
      </c>
      <c r="T123" s="9" t="n">
        <v>486025816010.8772</v>
      </c>
      <c r="U123" s="9" t="n">
        <v>1</v>
      </c>
      <c r="V123" s="9" t="n">
        <v/>
      </c>
      <c r="W123" s="9" t="n">
        <v>-0.273861278752583</v>
      </c>
      <c r="X123" s="9" t="n">
        <v>9.829789549278049</v>
      </c>
      <c r="Y123" s="9" t="n">
        <v>18.4971044993359</v>
      </c>
      <c r="Z123" s="9" t="n">
        <v>25.75746780187978</v>
      </c>
      <c r="AA123" s="9" t="n">
        <v>6.221607301245393</v>
      </c>
      <c r="AB123" s="9" t="n">
        <v>19.34641602004516</v>
      </c>
      <c r="AC123" s="9" t="n">
        <v>0.0032205978448603</v>
      </c>
      <c r="AD123" s="9" t="n">
        <v>7.23882060185133</v>
      </c>
      <c r="AE123" s="9" t="n">
        <v>10790.28895023148</v>
      </c>
      <c r="AF123" s="9" t="n">
        <v>10790.28895023148</v>
      </c>
      <c r="AG123" s="9" t="n">
        <v>10790.28895023148</v>
      </c>
      <c r="AH123" s="8" t="inlineStr">
        <is>
          <t>Moderate (5.0-5.9)</t>
        </is>
      </c>
    </row>
    <row r="124">
      <c r="A124" s="8" t="inlineStr">
        <is>
          <t>1972-12-09 07:27:49.000</t>
        </is>
      </c>
      <c r="B124" s="8" t="n">
        <v>1972</v>
      </c>
      <c r="C124" s="9" t="n">
        <v>7.18</v>
      </c>
      <c r="D124" s="9" t="n">
        <v>126.85</v>
      </c>
      <c r="E124" s="8" t="n">
        <v>93</v>
      </c>
      <c r="F124" s="9" t="n">
        <v>5.1</v>
      </c>
      <c r="G124" s="9" t="n">
        <v>13</v>
      </c>
      <c r="H124" s="9" t="n">
        <v>6.3</v>
      </c>
      <c r="I124" s="9" t="n">
        <v>5.292307692307691</v>
      </c>
      <c r="J124" s="9" t="n">
        <v>0.7374013964900361</v>
      </c>
      <c r="K124" s="9" t="n">
        <v>4.677949188448491</v>
      </c>
      <c r="L124" s="9" t="n">
        <v>0.1944015897762837</v>
      </c>
      <c r="M124" s="9" t="n">
        <v>0.0887003956026416</v>
      </c>
      <c r="N124" s="9" t="n">
        <v>0.5714401077674368</v>
      </c>
      <c r="O124" s="9" t="n">
        <v>3.742912517283697</v>
      </c>
      <c r="P124" s="9" t="n">
        <v>0.1167436691665563</v>
      </c>
      <c r="Q124" s="9" t="n">
        <v>0.1112005946476715</v>
      </c>
      <c r="R124" s="9" t="n">
        <v>-0.0438301184607263</v>
      </c>
      <c r="S124" s="9" t="n">
        <v>-0.2499646706754745</v>
      </c>
      <c r="T124" s="9" t="n">
        <v>595267040565.1921</v>
      </c>
      <c r="U124" s="9" t="n">
        <v>0.0061347350441907</v>
      </c>
      <c r="V124" s="9" t="n">
        <v>0.019305438773144</v>
      </c>
      <c r="W124" s="9" t="n">
        <v>-0.1414213562373095</v>
      </c>
      <c r="X124" s="9" t="n">
        <v>15.1071516904496</v>
      </c>
      <c r="Y124" s="9" t="n">
        <v>13.5590307930279</v>
      </c>
      <c r="Z124" s="9" t="n">
        <v>27.59193541967833</v>
      </c>
      <c r="AA124" s="9" t="n">
        <v>13.43419020908877</v>
      </c>
      <c r="AB124" s="9" t="n">
        <v>18.22667577470062</v>
      </c>
      <c r="AC124" s="9" t="n">
        <v>2.341563333188359</v>
      </c>
      <c r="AD124" s="9" t="n">
        <v>7.297187500000291</v>
      </c>
      <c r="AE124" s="9" t="n">
        <v>10790.34737268518</v>
      </c>
      <c r="AF124" s="9" t="n">
        <v>10790.34737268518</v>
      </c>
      <c r="AG124" s="9" t="n">
        <v>10790.34737268518</v>
      </c>
      <c r="AH124" s="8" t="inlineStr">
        <is>
          <t>Moderate (5.0-5.9)</t>
        </is>
      </c>
    </row>
    <row r="125">
      <c r="A125" s="8" t="inlineStr">
        <is>
          <t>1972-12-09 12:55:47.500</t>
        </is>
      </c>
      <c r="B125" s="8" t="n">
        <v>1972</v>
      </c>
      <c r="C125" s="9" t="n">
        <v>7.41</v>
      </c>
      <c r="D125" s="9" t="n">
        <v>126.92</v>
      </c>
      <c r="E125" s="8" t="n">
        <v>66</v>
      </c>
      <c r="F125" s="9" t="n">
        <v>5.2</v>
      </c>
      <c r="G125" s="9" t="n">
        <v>8</v>
      </c>
      <c r="H125" s="9" t="n">
        <v>5.4</v>
      </c>
      <c r="I125" s="9" t="n">
        <v>5.05</v>
      </c>
      <c r="J125" s="9" t="n">
        <v>0.8337334825539015</v>
      </c>
      <c r="K125" s="9" t="n">
        <v>4.850867367822354</v>
      </c>
      <c r="L125" s="9" t="n">
        <v>0.1812819469263399</v>
      </c>
      <c r="M125" s="9" t="n">
        <v>0.0579632349539978</v>
      </c>
      <c r="N125" s="9" t="n">
        <v>0.9650988486738924</v>
      </c>
      <c r="O125" s="9" t="n">
        <v>5.410625724018328</v>
      </c>
      <c r="P125" s="9" t="n">
        <v>0.2429090333748926</v>
      </c>
      <c r="Q125" s="9" t="n">
        <v>0.1295486638210634</v>
      </c>
      <c r="R125" s="9" t="n">
        <v>-0.4182470409646068</v>
      </c>
      <c r="S125" s="9" t="n">
        <v>-0.2062917611526247</v>
      </c>
      <c r="T125" s="9" t="n">
        <v>133634468239.1095</v>
      </c>
      <c r="U125" s="9" t="n">
        <v>0.0031535487739366</v>
      </c>
      <c r="V125" s="9" t="n">
        <v>0.0012726338013398</v>
      </c>
      <c r="W125" s="9" t="n">
        <v>-1.161895003862225</v>
      </c>
      <c r="X125" s="9" t="n">
        <v>11.33287844139639</v>
      </c>
      <c r="Y125" s="9" t="n">
        <v>21.8386201418034</v>
      </c>
      <c r="Z125" s="9" t="n">
        <v>37.39984838845706</v>
      </c>
      <c r="AA125" s="9" t="n">
        <v>13.8649743808694</v>
      </c>
      <c r="AB125" s="9" t="n">
        <v>30.28207145743764</v>
      </c>
      <c r="AC125" s="9" t="n">
        <v>1.968758850381215</v>
      </c>
      <c r="AD125" s="9" t="n">
        <v>5212.788234953703</v>
      </c>
      <c r="AE125" s="9" t="n">
        <v>10790.57513310185</v>
      </c>
      <c r="AF125" s="9" t="n">
        <v>10790.57513310185</v>
      </c>
      <c r="AG125" s="9" t="n">
        <v>10790.57513310185</v>
      </c>
      <c r="AH125" s="8" t="inlineStr">
        <is>
          <t>Moderate (5.0-5.9)</t>
        </is>
      </c>
    </row>
    <row r="126">
      <c r="A126" s="8" t="inlineStr">
        <is>
          <t>1972-12-09 13:25:33.900</t>
        </is>
      </c>
      <c r="B126" s="8" t="n">
        <v>1972</v>
      </c>
      <c r="C126" s="9" t="n">
        <v>6.19</v>
      </c>
      <c r="D126" s="9" t="n">
        <v>127.32</v>
      </c>
      <c r="E126" s="8" t="n">
        <v>44</v>
      </c>
      <c r="F126" s="9" t="n">
        <v>5.3</v>
      </c>
      <c r="G126" s="9" t="n">
        <v>64</v>
      </c>
      <c r="H126" s="9" t="n">
        <v>6.3</v>
      </c>
      <c r="I126" s="9" t="n">
        <v>5.0453125</v>
      </c>
      <c r="J126" s="9" t="n">
        <v>1.212242594132009</v>
      </c>
      <c r="K126" s="9" t="n">
        <v>7.529859741027492</v>
      </c>
      <c r="L126" s="9" t="n">
        <v>0.1569897065713799</v>
      </c>
      <c r="M126" s="9" t="n">
        <v>0.0831048196730871</v>
      </c>
      <c r="N126" s="9" t="n">
        <v>1.386822715321308</v>
      </c>
      <c r="O126" s="9" t="n">
        <v>8.490231720623628</v>
      </c>
      <c r="P126" s="9" t="n">
        <v>0.2054631734174385</v>
      </c>
      <c r="Q126" s="9" t="n">
        <v>0.440065953439365</v>
      </c>
      <c r="R126" s="9" t="n">
        <v>0.0884877354775435</v>
      </c>
      <c r="S126" s="9" t="n">
        <v>0.1779256881031399</v>
      </c>
      <c r="T126" s="9" t="n">
        <v>664053445916.5597</v>
      </c>
      <c r="U126" s="9" t="n">
        <v>0.0002308193520775</v>
      </c>
      <c r="V126" s="9" t="n">
        <v>6.910856163461088e-05</v>
      </c>
      <c r="W126" s="9" t="n">
        <v>-0.6123724356957946</v>
      </c>
      <c r="X126" s="9" t="n">
        <v>38.45825302572712</v>
      </c>
      <c r="Y126" s="9" t="n">
        <v>2.72038073789797</v>
      </c>
      <c r="Z126" s="9" t="n">
        <v>24.03221918114901</v>
      </c>
      <c r="AA126" s="9" t="n">
        <v>12.66342999849084</v>
      </c>
      <c r="AB126" s="9" t="n">
        <v>19.97303307222469</v>
      </c>
      <c r="AC126" s="9" t="n">
        <v>-0.4435869414146935</v>
      </c>
      <c r="AD126" s="9" t="n">
        <v>7.545623842594068</v>
      </c>
      <c r="AE126" s="9" t="n">
        <v>5555.211445601853</v>
      </c>
      <c r="AF126" s="9" t="n">
        <v>5555.211445601853</v>
      </c>
      <c r="AG126" s="9" t="n">
        <v>5555.211445601853</v>
      </c>
      <c r="AH126" s="8" t="inlineStr">
        <is>
          <t>Moderate (5.0-5.9)</t>
        </is>
      </c>
    </row>
    <row r="127">
      <c r="A127" s="8" t="inlineStr">
        <is>
          <t>1972-12-11 02:28:02.600</t>
        </is>
      </c>
      <c r="B127" s="8" t="n">
        <v>1972</v>
      </c>
      <c r="C127" s="9" t="n">
        <v>6.05</v>
      </c>
      <c r="D127" s="9" t="n">
        <v>126.64</v>
      </c>
      <c r="E127" s="8" t="n">
        <v>96</v>
      </c>
      <c r="F127" s="9" t="n">
        <v>5.2</v>
      </c>
      <c r="G127" s="9" t="n">
        <v>59</v>
      </c>
      <c r="H127" s="9" t="n">
        <v>6.3</v>
      </c>
      <c r="I127" s="9" t="n">
        <v>5.027118644067797</v>
      </c>
      <c r="J127" s="9" t="n">
        <v>1.189187252200498</v>
      </c>
      <c r="K127" s="9" t="n">
        <v>7.381549220366104</v>
      </c>
      <c r="L127" s="9" t="n">
        <v>0.1654710749104333</v>
      </c>
      <c r="M127" s="9" t="n">
        <v>0.08674456533174769</v>
      </c>
      <c r="N127" s="9" t="n">
        <v>1.371456258641849</v>
      </c>
      <c r="O127" s="9" t="n">
        <v>8.374638160785036</v>
      </c>
      <c r="P127" s="9" t="n">
        <v>0.2200825044594523</v>
      </c>
      <c r="Q127" s="9" t="n">
        <v>0.4355819367532056</v>
      </c>
      <c r="R127" s="9" t="n">
        <v>0.0927780450832065</v>
      </c>
      <c r="S127" s="9" t="n">
        <v>0.1936162870564839</v>
      </c>
      <c r="T127" s="9" t="n">
        <v>651091660996.2363</v>
      </c>
      <c r="U127" s="9" t="n">
        <v>0.000270668828594</v>
      </c>
      <c r="V127" s="9" t="n">
        <v>7.684776196487846e-05</v>
      </c>
      <c r="W127" s="9" t="n">
        <v>0.5697226227186245</v>
      </c>
      <c r="X127" s="9" t="n">
        <v>35.32409602956957</v>
      </c>
      <c r="Y127" s="9" t="n">
        <v>2.72038073789797</v>
      </c>
      <c r="Z127" s="9" t="n">
        <v>23.56134706894328</v>
      </c>
      <c r="AA127" s="9" t="n">
        <v>13.53315364993536</v>
      </c>
      <c r="AB127" s="9" t="n">
        <v>19.15486037909972</v>
      </c>
      <c r="AC127" s="9" t="n">
        <v>-0.604476762295204</v>
      </c>
      <c r="AD127" s="9" t="n">
        <v>9.089011574073083</v>
      </c>
      <c r="AE127" s="9" t="n">
        <v>839.5657407407416</v>
      </c>
      <c r="AF127" s="9" t="n">
        <v>839.5657407407416</v>
      </c>
      <c r="AG127" s="9" t="n">
        <v>839.5657407407416</v>
      </c>
      <c r="AH127" s="8" t="inlineStr">
        <is>
          <t>Moderate (5.0-5.9)</t>
        </is>
      </c>
    </row>
    <row r="128">
      <c r="A128" s="8" t="inlineStr">
        <is>
          <t>1972-12-12 04:54:38.400</t>
        </is>
      </c>
      <c r="B128" s="8" t="n">
        <v>1972</v>
      </c>
      <c r="C128" s="9" t="n">
        <v>6.26</v>
      </c>
      <c r="D128" s="9" t="n">
        <v>127.01</v>
      </c>
      <c r="E128" s="8" t="n">
        <v>53</v>
      </c>
      <c r="F128" s="9" t="n">
        <v>5</v>
      </c>
      <c r="G128" s="9" t="n">
        <v>67</v>
      </c>
      <c r="H128" s="9" t="n">
        <v>6.3</v>
      </c>
      <c r="I128" s="9" t="n">
        <v>5.035820895522388</v>
      </c>
      <c r="J128" s="9" t="n">
        <v>1.238389155040714</v>
      </c>
      <c r="K128" s="9" t="n">
        <v>7.686321542682426</v>
      </c>
      <c r="L128" s="9" t="n">
        <v>0.1639555204160286</v>
      </c>
      <c r="M128" s="9" t="n">
        <v>0.0875762430315225</v>
      </c>
      <c r="N128" s="9" t="n">
        <v>1.482956767474519</v>
      </c>
      <c r="O128" s="9" t="n">
        <v>9.033594485601419</v>
      </c>
      <c r="P128" s="9" t="n">
        <v>0.2351087239399777</v>
      </c>
      <c r="Q128" s="9" t="n">
        <v>0.5064495310752803</v>
      </c>
      <c r="R128" s="9" t="n">
        <v>0.0932906539142583</v>
      </c>
      <c r="S128" s="9" t="n">
        <v>0.2083898575238549</v>
      </c>
      <c r="T128" s="9" t="n">
        <v>668172920816.8584</v>
      </c>
      <c r="U128" s="9" t="n">
        <v>0.0001926781797674</v>
      </c>
      <c r="V128" s="9" t="n">
        <v>3.557375400616358e-05</v>
      </c>
      <c r="W128" s="9" t="n">
        <v>1.009912312617971</v>
      </c>
      <c r="X128" s="9" t="n">
        <v>38.83603740069011</v>
      </c>
      <c r="Y128" s="9" t="n">
        <v>2.72038073789797</v>
      </c>
      <c r="Z128" s="9" t="n">
        <v>24.58473049088429</v>
      </c>
      <c r="AA128" s="9" t="n">
        <v>13.65468008512792</v>
      </c>
      <c r="AB128" s="9" t="n">
        <v>20.09583925173594</v>
      </c>
      <c r="AC128" s="9" t="n">
        <v>-0.3021701654711676</v>
      </c>
      <c r="AD128" s="9" t="n">
        <v>10.19081481481771</v>
      </c>
      <c r="AE128" s="9" t="n">
        <v>6287.41338425926</v>
      </c>
      <c r="AF128" s="9" t="n">
        <v>13308.41626620371</v>
      </c>
      <c r="AG128" s="9" t="n">
        <v>17773.52197222222</v>
      </c>
      <c r="AH128" s="8" t="inlineStr">
        <is>
          <t>Moderate (5.0-5.9)</t>
        </is>
      </c>
    </row>
    <row r="129">
      <c r="A129" s="8" t="inlineStr">
        <is>
          <t>1972-12-12 17:46:47.800</t>
        </is>
      </c>
      <c r="B129" s="8" t="n">
        <v>1972</v>
      </c>
      <c r="C129" s="9" t="n">
        <v>6.47</v>
      </c>
      <c r="D129" s="9" t="n">
        <v>126.49</v>
      </c>
      <c r="E129" s="8" t="n">
        <v>3</v>
      </c>
      <c r="F129" s="9" t="n">
        <v>5.3</v>
      </c>
      <c r="G129" s="9" t="n">
        <v>37</v>
      </c>
      <c r="H129" s="9" t="n">
        <v>6.3</v>
      </c>
      <c r="I129" s="9" t="n">
        <v>5.043243243243243</v>
      </c>
      <c r="J129" s="9" t="n">
        <v>0.9032852487890098</v>
      </c>
      <c r="K129" s="9" t="n">
        <v>5.654054719869087</v>
      </c>
      <c r="L129" s="9" t="n">
        <v>0.1334010510624515</v>
      </c>
      <c r="M129" s="9" t="n">
        <v>0.0841889570282438</v>
      </c>
      <c r="N129" s="9" t="n">
        <v>1.209427671122979</v>
      </c>
      <c r="O129" s="9" t="n">
        <v>7.330416574997715</v>
      </c>
      <c r="P129" s="9" t="n">
        <v>0.2391493567495677</v>
      </c>
      <c r="Q129" s="9" t="n">
        <v>0.364093744457747</v>
      </c>
      <c r="R129" s="9" t="n">
        <v>0.0405656436333918</v>
      </c>
      <c r="S129" s="9" t="n">
        <v>0.2389376065860382</v>
      </c>
      <c r="T129" s="9" t="n">
        <v>614130017370.7727</v>
      </c>
      <c r="U129" s="9" t="n">
        <v>0.0019504923604303</v>
      </c>
      <c r="V129" s="9" t="n">
        <v>0.0002353515086854</v>
      </c>
      <c r="W129" s="9" t="n">
        <v>1.067392075432748</v>
      </c>
      <c r="X129" s="9" t="n">
        <v>26.73223184729908</v>
      </c>
      <c r="Y129" s="9" t="n">
        <v>5.49831013936792</v>
      </c>
      <c r="Z129" s="9" t="n">
        <v>30.23436299214651</v>
      </c>
      <c r="AA129" s="9" t="n">
        <v>16.82747084965836</v>
      </c>
      <c r="AB129" s="9" t="n">
        <v>19.86610729094464</v>
      </c>
      <c r="AC129" s="9" t="n">
        <v>1.991669921269419</v>
      </c>
      <c r="AD129" s="9" t="n">
        <v>10.72703472222202</v>
      </c>
      <c r="AE129" s="9" t="n">
        <v>841.2037638888905</v>
      </c>
      <c r="AF129" s="9" t="n">
        <v>841.2037638888905</v>
      </c>
      <c r="AG129" s="9" t="n">
        <v>841.2037638888905</v>
      </c>
      <c r="AH129" s="8" t="inlineStr">
        <is>
          <t>Moderate (5.0-5.9)</t>
        </is>
      </c>
    </row>
    <row r="130">
      <c r="A130" s="8" t="inlineStr">
        <is>
          <t>1972-12-12 18:00:41.800</t>
        </is>
      </c>
      <c r="B130" s="8" t="n">
        <v>1972</v>
      </c>
      <c r="C130" s="9" t="n">
        <v>6.67</v>
      </c>
      <c r="D130" s="9" t="n">
        <v>126.53</v>
      </c>
      <c r="E130" s="8" t="n">
        <v>41</v>
      </c>
      <c r="F130" s="9" t="n">
        <v>5.4</v>
      </c>
      <c r="G130" s="9" t="n">
        <v>35</v>
      </c>
      <c r="H130" s="9" t="n">
        <v>6.3</v>
      </c>
      <c r="I130" s="9" t="n">
        <v>5.088571428571429</v>
      </c>
      <c r="J130" s="9" t="n">
        <v>0.9688185908787748</v>
      </c>
      <c r="K130" s="9" t="n">
        <v>6.048348425233062</v>
      </c>
      <c r="L130" s="9" t="n">
        <v>0.1498725929216733</v>
      </c>
      <c r="M130" s="9" t="n">
        <v>0.085576975804839</v>
      </c>
      <c r="N130" s="9" t="n">
        <v>1.32843017993936</v>
      </c>
      <c r="O130" s="9" t="n">
        <v>8.021780287991508</v>
      </c>
      <c r="P130" s="9" t="n">
        <v>0.2817829815981327</v>
      </c>
      <c r="Q130" s="9" t="n">
        <v>0.2650182576640346</v>
      </c>
      <c r="R130" s="9" t="n">
        <v>0.0569855882442782</v>
      </c>
      <c r="S130" s="9" t="n">
        <v>0.2614588639068049</v>
      </c>
      <c r="T130" s="9" t="n">
        <v>617346965774.9504</v>
      </c>
      <c r="U130" s="9" t="n">
        <v>0.0012403499325362</v>
      </c>
      <c r="V130" s="9" t="n">
        <v>0.0001034449895761</v>
      </c>
      <c r="W130" s="9" t="n">
        <v>0.4266600929914307</v>
      </c>
      <c r="X130" s="9" t="n">
        <v>26.48169736820557</v>
      </c>
      <c r="Y130" s="9" t="n">
        <v>2.6804731969826</v>
      </c>
      <c r="Z130" s="9" t="n">
        <v>28.9079388072833</v>
      </c>
      <c r="AA130" s="9" t="n">
        <v>15.29558425364336</v>
      </c>
      <c r="AB130" s="9" t="n">
        <v>19.62221290273584</v>
      </c>
      <c r="AC130" s="9" t="n">
        <v>1.522614749139373</v>
      </c>
      <c r="AD130" s="9" t="n">
        <v>10.7366875000007</v>
      </c>
      <c r="AE130" s="9" t="n">
        <v>8139.454928240741</v>
      </c>
      <c r="AF130" s="9" t="n">
        <v>8139.454928240741</v>
      </c>
      <c r="AG130" s="9" t="n">
        <v>17774.06784490741</v>
      </c>
      <c r="AH130" s="8" t="inlineStr">
        <is>
          <t>Moderate (5.0-5.9)</t>
        </is>
      </c>
    </row>
    <row r="131">
      <c r="A131" s="8" t="inlineStr">
        <is>
          <t>1972-12-16 15:22:22.200</t>
        </is>
      </c>
      <c r="B131" s="8" t="n">
        <v>1972</v>
      </c>
      <c r="C131" s="9" t="n">
        <v>6.11</v>
      </c>
      <c r="D131" s="9" t="n">
        <v>126.62</v>
      </c>
      <c r="E131" s="8" t="n">
        <v>14</v>
      </c>
      <c r="F131" s="9" t="n">
        <v>5.8</v>
      </c>
      <c r="G131" s="9" t="n">
        <v>46</v>
      </c>
      <c r="H131" s="9" t="n">
        <v>5.4</v>
      </c>
      <c r="I131" s="9" t="n">
        <v>4.891304347826088</v>
      </c>
      <c r="J131" s="9" t="n">
        <v>2.193820026016116</v>
      </c>
      <c r="K131" s="9" t="n">
        <v>12.40663076177643</v>
      </c>
      <c r="L131" s="9" t="n">
        <v>0.5449366351176721</v>
      </c>
      <c r="M131" s="9" t="n">
        <v>0.08933584829016281</v>
      </c>
      <c r="N131" s="9" t="n">
        <v>2.285760431069763</v>
      </c>
      <c r="O131" s="9" t="n">
        <v>12.83346945751148</v>
      </c>
      <c r="P131" s="9" t="n">
        <v>0.5915690350158489</v>
      </c>
      <c r="Q131" s="9" t="n">
        <v>1.033272276615664</v>
      </c>
      <c r="R131" s="9" t="n">
        <v>-0.2552637019666308</v>
      </c>
      <c r="S131" s="9" t="n">
        <v>-0.2145295382094163</v>
      </c>
      <c r="T131" s="9" t="n">
        <v>245294800654.5846</v>
      </c>
      <c r="U131" s="9" t="n">
        <v>2.621439999999931e-07</v>
      </c>
      <c r="V131" s="9" t="n">
        <v>1.389052648230684e-07</v>
      </c>
      <c r="W131" s="9" t="n">
        <v>2.875403029791138</v>
      </c>
      <c r="X131" s="9" t="n">
        <v>25.1724630425308</v>
      </c>
      <c r="Y131" s="9" t="n">
        <v>2.6804731969826</v>
      </c>
      <c r="Z131" s="9" t="n">
        <v>30.72955670575242</v>
      </c>
      <c r="AA131" s="9" t="n">
        <v>22.8863621169635</v>
      </c>
      <c r="AB131" s="9" t="n">
        <v>24.62336823621171</v>
      </c>
      <c r="AC131" s="9" t="n">
        <v>1.368892257998518</v>
      </c>
      <c r="AD131" s="9" t="n">
        <v>14.6267384259263</v>
      </c>
      <c r="AE131" s="9" t="n">
        <v>845.1034675925948</v>
      </c>
      <c r="AF131" s="9" t="n">
        <v>845.1034675925948</v>
      </c>
      <c r="AG131" s="9" t="n">
        <v>845.1034675925948</v>
      </c>
      <c r="AH131" s="8" t="inlineStr">
        <is>
          <t>Moderate (5.0-5.9)</t>
        </is>
      </c>
    </row>
    <row r="132">
      <c r="A132" s="8" t="inlineStr">
        <is>
          <t>1972-12-16 23:48:25.700</t>
        </is>
      </c>
      <c r="B132" s="8" t="n">
        <v>1972</v>
      </c>
      <c r="C132" s="9" t="n">
        <v>5.52</v>
      </c>
      <c r="D132" s="9" t="n">
        <v>126.52</v>
      </c>
      <c r="E132" s="8" t="n">
        <v>64</v>
      </c>
      <c r="F132" s="9" t="n">
        <v>5</v>
      </c>
      <c r="G132" s="9" t="n">
        <v>30</v>
      </c>
      <c r="H132" s="9" t="n">
        <v>5.8</v>
      </c>
      <c r="I132" s="9" t="n">
        <v>4.916666666666667</v>
      </c>
      <c r="J132" s="9" t="n">
        <v>1.587226210680852</v>
      </c>
      <c r="K132" s="9" t="n">
        <v>8.993906351586419</v>
      </c>
      <c r="L132" s="9" t="n">
        <v>0.3870392255187118</v>
      </c>
      <c r="M132" s="9" t="n">
        <v>0.1535849003386949</v>
      </c>
      <c r="N132" s="9" t="n">
        <v>1.974065826832965</v>
      </c>
      <c r="O132" s="9" t="n">
        <v>11.06773571684812</v>
      </c>
      <c r="P132" s="9" t="n">
        <v>0.5986880502225357</v>
      </c>
      <c r="Q132" s="9" t="n">
        <v>0.761251290941242</v>
      </c>
      <c r="R132" s="9" t="n">
        <v>0.1335699151991569</v>
      </c>
      <c r="S132" s="9" t="n">
        <v>0.1934312795413095</v>
      </c>
      <c r="T132" s="9" t="n">
        <v>248425984560.1258</v>
      </c>
      <c r="U132" s="9" t="n">
        <v>1.731096857364281e-05</v>
      </c>
      <c r="V132" s="9" t="n">
        <v>1.196196478359254e-06</v>
      </c>
      <c r="W132" s="9" t="n">
        <v>2.026561588419596</v>
      </c>
      <c r="X132" s="9" t="n">
        <v>19.78928819545044</v>
      </c>
      <c r="Y132" s="9" t="n">
        <v>7.35041187536726</v>
      </c>
      <c r="Z132" s="9" t="n">
        <v>39.38212153808691</v>
      </c>
      <c r="AA132" s="9" t="n">
        <v>23.69183293210915</v>
      </c>
      <c r="AB132" s="9" t="n">
        <v>35.76227326242234</v>
      </c>
      <c r="AC132" s="9" t="n">
        <v>2.379298069509806</v>
      </c>
      <c r="AD132" s="9" t="n">
        <v>14.97816782407608</v>
      </c>
      <c r="AE132" s="9" t="n">
        <v>845.4548969907446</v>
      </c>
      <c r="AF132" s="9" t="n">
        <v>845.4548969907446</v>
      </c>
      <c r="AG132" s="9" t="n">
        <v>845.4548969907446</v>
      </c>
      <c r="AH132" s="8" t="inlineStr">
        <is>
          <t>Moderate (5.0-5.9)</t>
        </is>
      </c>
    </row>
    <row r="133">
      <c r="A133" s="8" t="inlineStr">
        <is>
          <t>1972-12-17 00:12:10.500</t>
        </is>
      </c>
      <c r="B133" s="8" t="n">
        <v>1972</v>
      </c>
      <c r="C133" s="9" t="n">
        <v>6.11</v>
      </c>
      <c r="D133" s="9" t="n">
        <v>127.4</v>
      </c>
      <c r="E133" s="8" t="n">
        <v>56</v>
      </c>
      <c r="F133" s="9" t="n">
        <v>5.4</v>
      </c>
      <c r="G133" s="9" t="n">
        <v>40</v>
      </c>
      <c r="H133" s="9" t="n">
        <v>5.8</v>
      </c>
      <c r="I133" s="9" t="n">
        <v>4.9725</v>
      </c>
      <c r="J133" s="9" t="n">
        <v>1.889819782222447</v>
      </c>
      <c r="K133" s="9" t="n">
        <v>10.73166765649377</v>
      </c>
      <c r="L133" s="9" t="n">
        <v>0.4011097277113306</v>
      </c>
      <c r="M133" s="9" t="n">
        <v>0.1950394549717683</v>
      </c>
      <c r="N133" s="9" t="n">
        <v>2.449866308172196</v>
      </c>
      <c r="O133" s="9" t="n">
        <v>13.78069748765365</v>
      </c>
      <c r="P133" s="9" t="n">
        <v>0.6740733902581233</v>
      </c>
      <c r="Q133" s="9" t="n">
        <v>0.8614932530158194</v>
      </c>
      <c r="R133" s="9" t="n">
        <v>0.1213274845322986</v>
      </c>
      <c r="S133" s="9" t="n">
        <v>0.1749185652766529</v>
      </c>
      <c r="T133" s="9" t="n">
        <v>286211254926.5121</v>
      </c>
      <c r="U133" s="9" t="n">
        <v>2.140625296527617e-06</v>
      </c>
      <c r="V133" s="9" t="n">
        <v>4.470962996474038e-08</v>
      </c>
      <c r="W133" s="9" t="n">
        <v>2.843208106229535</v>
      </c>
      <c r="X133" s="9" t="n">
        <v>22.3198405350176</v>
      </c>
      <c r="Y133" s="9" t="n">
        <v>2.72038073789797</v>
      </c>
      <c r="Z133" s="9" t="n">
        <v>26.41616896650937</v>
      </c>
      <c r="AA133" s="9" t="n">
        <v>15.00796633053582</v>
      </c>
      <c r="AB133" s="9" t="n">
        <v>30.10325832233489</v>
      </c>
      <c r="AC133" s="9" t="n">
        <v>-0.1085468777374739</v>
      </c>
      <c r="AD133" s="9" t="n">
        <v>14.99465856481402</v>
      </c>
      <c r="AE133" s="9" t="n">
        <v>5562.660480324073</v>
      </c>
      <c r="AF133" s="9" t="n">
        <v>5562.660480324073</v>
      </c>
      <c r="AG133" s="9" t="n">
        <v>5562.660480324073</v>
      </c>
      <c r="AH133" s="8" t="inlineStr">
        <is>
          <t>Moderate (5.0-5.9)</t>
        </is>
      </c>
    </row>
    <row r="134">
      <c r="A134" s="8" t="inlineStr">
        <is>
          <t>1972-12-17 03:15:24.000</t>
        </is>
      </c>
      <c r="B134" s="8" t="n">
        <v>1972</v>
      </c>
      <c r="C134" s="9" t="n">
        <v>5.68</v>
      </c>
      <c r="D134" s="9" t="n">
        <v>126.57</v>
      </c>
      <c r="E134" s="8" t="n">
        <v>33</v>
      </c>
      <c r="F134" s="9" t="n">
        <v>5.1</v>
      </c>
      <c r="G134" s="9" t="n">
        <v>40</v>
      </c>
      <c r="H134" s="9" t="n">
        <v>5.8</v>
      </c>
      <c r="I134" s="9" t="n">
        <v>4.885</v>
      </c>
      <c r="J134" s="9" t="n">
        <v>1.68573572312473</v>
      </c>
      <c r="K134" s="9" t="n">
        <v>9.562035585112721</v>
      </c>
      <c r="L134" s="9" t="n">
        <v>0.3748396508016213</v>
      </c>
      <c r="M134" s="9" t="n">
        <v>0.1916387056044462</v>
      </c>
      <c r="N134" s="9" t="n">
        <v>2.368878992199564</v>
      </c>
      <c r="O134" s="9" t="n">
        <v>13.27241326887706</v>
      </c>
      <c r="P134" s="9" t="n">
        <v>0.7402054820709346</v>
      </c>
      <c r="Q134" s="9" t="n">
        <v>1.017490936864567</v>
      </c>
      <c r="R134" s="9" t="n">
        <v>0.1276781443604653</v>
      </c>
      <c r="S134" s="9" t="n">
        <v>0.1971754941550276</v>
      </c>
      <c r="T134" s="9" t="n">
        <v>268447271530.1173</v>
      </c>
      <c r="U134" s="9" t="n">
        <v>8.765825694942628e-06</v>
      </c>
      <c r="V134" s="9" t="n">
        <v>7.822814343739539e-08</v>
      </c>
      <c r="W134" s="9" t="n">
        <v>1.983739567600742</v>
      </c>
      <c r="X134" s="9" t="n">
        <v>22.67027551533929</v>
      </c>
      <c r="Y134" s="9" t="n">
        <v>2.6804731969826</v>
      </c>
      <c r="Z134" s="9" t="n">
        <v>34.16162960933619</v>
      </c>
      <c r="AA134" s="9" t="n">
        <v>24.78561504408318</v>
      </c>
      <c r="AB134" s="9" t="n">
        <v>32.4914229963572</v>
      </c>
      <c r="AC134" s="9" t="n">
        <v>2.278231098037234</v>
      </c>
      <c r="AD134" s="9" t="n">
        <v>15.12189814814701</v>
      </c>
      <c r="AE134" s="9" t="n">
        <v>845.5986273148155</v>
      </c>
      <c r="AF134" s="9" t="n">
        <v>845.5986273148155</v>
      </c>
      <c r="AG134" s="9" t="n">
        <v>845.5986273148155</v>
      </c>
      <c r="AH134" s="8" t="inlineStr">
        <is>
          <t>Moderate (5.0-5.9)</t>
        </is>
      </c>
    </row>
    <row r="135">
      <c r="A135" s="8" t="inlineStr">
        <is>
          <t>1972-12-18 10:03:03.200</t>
        </is>
      </c>
      <c r="B135" s="8" t="n">
        <v>1972</v>
      </c>
      <c r="C135" s="9" t="n">
        <v>6.56</v>
      </c>
      <c r="D135" s="9" t="n">
        <v>126.46</v>
      </c>
      <c r="E135" s="8" t="n">
        <v>33</v>
      </c>
      <c r="F135" s="9" t="n">
        <v>5.1</v>
      </c>
      <c r="G135" s="9" t="n">
        <v>20</v>
      </c>
      <c r="H135" s="9" t="n">
        <v>5.8</v>
      </c>
      <c r="I135" s="9" t="n">
        <v>4.975</v>
      </c>
      <c r="J135" s="9" t="n">
        <v>1.374865915529365</v>
      </c>
      <c r="K135" s="9" t="n">
        <v>7.790545644848993</v>
      </c>
      <c r="L135" s="9" t="n">
        <v>0.3321150396700056</v>
      </c>
      <c r="M135" s="9" t="n">
        <v>0.1311002926757048</v>
      </c>
      <c r="N135" s="9" t="n">
        <v>1.930197697347789</v>
      </c>
      <c r="O135" s="9" t="n">
        <v>10.74709824346567</v>
      </c>
      <c r="P135" s="9" t="n">
        <v>0.6545931229068912</v>
      </c>
      <c r="Q135" s="9" t="n">
        <v>0.5959170967090986</v>
      </c>
      <c r="R135" s="9" t="n">
        <v>0.1335960570021157</v>
      </c>
      <c r="S135" s="9" t="n">
        <v>0.2321256531220372</v>
      </c>
      <c r="T135" s="9" t="n">
        <v>227940176487.2971</v>
      </c>
      <c r="U135" s="9" t="n">
        <v>7.505891001412751e-05</v>
      </c>
      <c r="V135" s="9" t="n">
        <v>1.619596792312576e-06</v>
      </c>
      <c r="W135" s="9" t="n">
        <v>0.6729265849104531</v>
      </c>
      <c r="X135" s="9" t="n">
        <v>13.82077402738075</v>
      </c>
      <c r="Y135" s="9" t="n">
        <v>2.6804731969826</v>
      </c>
      <c r="Z135" s="9" t="n">
        <v>37.57561094124294</v>
      </c>
      <c r="AA135" s="9" t="n">
        <v>19.43391253850889</v>
      </c>
      <c r="AB135" s="9" t="n">
        <v>38.37962462597985</v>
      </c>
      <c r="AC135" s="9" t="n">
        <v>0.8164256237659385</v>
      </c>
      <c r="AD135" s="9" t="n">
        <v>16.40499074074251</v>
      </c>
      <c r="AE135" s="9" t="n">
        <v>846.881719907411</v>
      </c>
      <c r="AF135" s="9" t="n">
        <v>846.881719907411</v>
      </c>
      <c r="AG135" s="9" t="n">
        <v>846.881719907411</v>
      </c>
      <c r="AH135" s="8" t="inlineStr">
        <is>
          <t>Moderate (5.0-5.9)</t>
        </is>
      </c>
    </row>
    <row r="136">
      <c r="A136" s="8" t="inlineStr">
        <is>
          <t>1972-12-19 15:22:30.000</t>
        </is>
      </c>
      <c r="B136" s="8" t="n">
        <v>1972</v>
      </c>
      <c r="C136" s="9" t="n">
        <v>6.14</v>
      </c>
      <c r="D136" s="9" t="n">
        <v>126.98</v>
      </c>
      <c r="E136" s="8" t="n">
        <v>66</v>
      </c>
      <c r="F136" s="9" t="n">
        <v>5.2</v>
      </c>
      <c r="G136" s="9" t="n">
        <v>34</v>
      </c>
      <c r="H136" s="9" t="n">
        <v>5.8</v>
      </c>
      <c r="I136" s="9" t="n">
        <v>4.961764705882352</v>
      </c>
      <c r="J136" s="9" t="n">
        <v>1.96612499225711</v>
      </c>
      <c r="K136" s="9" t="n">
        <v>11.1854103133181</v>
      </c>
      <c r="L136" s="9" t="n">
        <v>0.5630851889502457</v>
      </c>
      <c r="M136" s="9" t="n">
        <v>0.2059547379510057</v>
      </c>
      <c r="N136" s="9" t="n">
        <v>1.974065826832973</v>
      </c>
      <c r="O136" s="9" t="n">
        <v>11.26514229953146</v>
      </c>
      <c r="P136" s="9" t="n">
        <v>0.5676427790201226</v>
      </c>
      <c r="Q136" s="9" t="n">
        <v>0.6607979711260485</v>
      </c>
      <c r="R136" s="9" t="n">
        <v>0.1109363049816796</v>
      </c>
      <c r="S136" s="9" t="n">
        <v>0.0934312795413117</v>
      </c>
      <c r="T136" s="9" t="n">
        <v>283055188146.2612</v>
      </c>
      <c r="U136" s="9" t="n">
        <v>1.263644825255874e-06</v>
      </c>
      <c r="V136" s="9" t="n">
        <v>1.196196478359188e-06</v>
      </c>
      <c r="W136" s="9" t="n">
        <v>2.215646837627989</v>
      </c>
      <c r="X136" s="9" t="n">
        <v>16.99828839006469</v>
      </c>
      <c r="Y136" s="9" t="n">
        <v>1.79312777165201</v>
      </c>
      <c r="Z136" s="9" t="n">
        <v>31.77817095179899</v>
      </c>
      <c r="AA136" s="9" t="n">
        <v>26.79926476090781</v>
      </c>
      <c r="AB136" s="9" t="n">
        <v>28.93283535752677</v>
      </c>
      <c r="AC136" s="9" t="n">
        <v>1.881786298014923</v>
      </c>
      <c r="AD136" s="9" t="n">
        <v>17.62682870370554</v>
      </c>
      <c r="AE136" s="9" t="n">
        <v>5565.292650462965</v>
      </c>
      <c r="AF136" s="9" t="n">
        <v>5565.292650462965</v>
      </c>
      <c r="AG136" s="9" t="n">
        <v>5565.292650462965</v>
      </c>
      <c r="AH136" s="8" t="inlineStr">
        <is>
          <t>Moderate (5.0-5.9)</t>
        </is>
      </c>
    </row>
    <row r="137">
      <c r="A137" s="8" t="inlineStr">
        <is>
          <t>1972-12-28 05:54:10.600</t>
        </is>
      </c>
      <c r="B137" s="8" t="n">
        <v>1972</v>
      </c>
      <c r="C137" s="9" t="n">
        <v>5.58</v>
      </c>
      <c r="D137" s="9" t="n">
        <v>127.13</v>
      </c>
      <c r="E137" s="8" t="n">
        <v>70</v>
      </c>
      <c r="F137" s="9" t="n">
        <v>5.8</v>
      </c>
      <c r="G137" s="9" t="n">
        <v>13</v>
      </c>
      <c r="H137" s="9" t="n">
        <v>5.8</v>
      </c>
      <c r="I137" s="9" t="n">
        <v>4.853846153846154</v>
      </c>
      <c r="J137" s="9" t="n">
        <v>0.9510122817609112</v>
      </c>
      <c r="K137" s="9" t="n">
        <v>5.400028907540444</v>
      </c>
      <c r="L137" s="9" t="n">
        <v>0.2565212199449432</v>
      </c>
      <c r="M137" s="9" t="n">
        <v>0.0742670874729236</v>
      </c>
      <c r="N137" s="9" t="n">
        <v>0.8405699649740374</v>
      </c>
      <c r="O137" s="9" t="n">
        <v>4.820864348319898</v>
      </c>
      <c r="P137" s="9" t="n">
        <v>0.2004004909157838</v>
      </c>
      <c r="Q137" s="9" t="n">
        <v>0.0926473589700994</v>
      </c>
      <c r="R137" s="9" t="n">
        <v>0.1218094959387334</v>
      </c>
      <c r="S137" s="9" t="n">
        <v>0.0647673017096206</v>
      </c>
      <c r="T137" s="9" t="n">
        <v>198930363033.5825</v>
      </c>
      <c r="U137" s="9" t="n">
        <v>0.001402694695739</v>
      </c>
      <c r="V137" s="9" t="n">
        <v>0.0030080850072549</v>
      </c>
      <c r="W137" s="9" t="n">
        <v>2.381569860407206</v>
      </c>
      <c r="X137" s="9" t="n">
        <v>5.666513601497993</v>
      </c>
      <c r="Y137" s="9" t="n">
        <v>9.457718245074007</v>
      </c>
      <c r="Z137" s="9" t="n">
        <v>47.77512050563129</v>
      </c>
      <c r="AA137" s="9" t="n">
        <v>28.513172141995</v>
      </c>
      <c r="AB137" s="9" t="n">
        <v>42.01682177622047</v>
      </c>
      <c r="AC137" s="9" t="n">
        <v>-3.686114644950794</v>
      </c>
      <c r="AD137" s="9" t="n">
        <v>1423.341981481481</v>
      </c>
      <c r="AE137" s="9" t="n">
        <v>5573.897981481481</v>
      </c>
      <c r="AF137" s="9" t="n">
        <v>5573.897981481481</v>
      </c>
      <c r="AG137" s="9" t="n">
        <v>5573.897981481481</v>
      </c>
      <c r="AH137" s="8" t="inlineStr">
        <is>
          <t>Moderate (5.0-5.9)</t>
        </is>
      </c>
    </row>
    <row r="138">
      <c r="A138" s="8" t="inlineStr">
        <is>
          <t>1973-01-07 22:17:02.600</t>
        </is>
      </c>
      <c r="B138" s="8" t="n">
        <v>1973</v>
      </c>
      <c r="C138" s="9" t="n">
        <v>5.68</v>
      </c>
      <c r="D138" s="9" t="n">
        <v>127.3</v>
      </c>
      <c r="E138" s="8" t="n">
        <v>79</v>
      </c>
      <c r="F138" s="9" t="n">
        <v>5.1</v>
      </c>
      <c r="G138" s="9" t="n">
        <v>6</v>
      </c>
      <c r="H138" s="9" t="n">
        <v>5.8</v>
      </c>
      <c r="I138" s="9" t="n">
        <v>4.816666666666667</v>
      </c>
      <c r="J138" s="9" t="n">
        <v>-0</v>
      </c>
      <c r="K138" s="9" t="n">
        <v>0</v>
      </c>
      <c r="L138" s="9" t="n">
        <v>0</v>
      </c>
      <c r="M138" s="9" t="n">
        <v>0</v>
      </c>
      <c r="N138" s="9" t="n">
        <v/>
      </c>
      <c r="O138" s="9" t="n">
        <v/>
      </c>
      <c r="P138" s="9" t="n">
        <v/>
      </c>
      <c r="Q138" s="9" t="n">
        <v/>
      </c>
      <c r="R138" s="9" t="n">
        <v/>
      </c>
      <c r="S138" s="9" t="n">
        <v/>
      </c>
      <c r="T138" s="9" t="n">
        <v>169601527364.9879</v>
      </c>
      <c r="U138" s="9" t="n">
        <v>1</v>
      </c>
      <c r="V138" s="9" t="n">
        <v/>
      </c>
      <c r="W138" s="9" t="n">
        <v>0.6928203230275508</v>
      </c>
      <c r="X138" s="9" t="n">
        <v>1.578267944683481</v>
      </c>
      <c r="Y138" s="9" t="n">
        <v>11.4142541794809</v>
      </c>
      <c r="Z138" s="9" t="n">
        <v>33.12230312246628</v>
      </c>
      <c r="AA138" s="9" t="n">
        <v>16.79134761629361</v>
      </c>
      <c r="AB138" s="9" t="n">
        <v>40.16408264628352</v>
      </c>
      <c r="AC138" s="9" t="n">
        <v>-3.225054230328153</v>
      </c>
      <c r="AD138" s="9" t="n">
        <v>4263.49593287037</v>
      </c>
      <c r="AE138" s="9" t="n">
        <v>5584.580527777776</v>
      </c>
      <c r="AF138" s="9" t="n">
        <v>5584.580527777776</v>
      </c>
      <c r="AG138" s="9" t="n">
        <v>5584.580527777776</v>
      </c>
      <c r="AH138" s="8" t="inlineStr">
        <is>
          <t>Moderate (5.0-5.9)</t>
        </is>
      </c>
    </row>
    <row r="139">
      <c r="A139" s="8" t="inlineStr">
        <is>
          <t>1973-01-18 10:18:17.300</t>
        </is>
      </c>
      <c r="B139" s="8" t="n">
        <v>1973</v>
      </c>
      <c r="C139" s="9" t="n">
        <v>6.43</v>
      </c>
      <c r="D139" s="9" t="n">
        <v>127.09</v>
      </c>
      <c r="E139" s="8" t="n">
        <v>60</v>
      </c>
      <c r="F139" s="9" t="n">
        <v>5</v>
      </c>
      <c r="G139" s="9" t="n">
        <v>3</v>
      </c>
      <c r="H139" s="9" t="n">
        <v>5.1</v>
      </c>
      <c r="I139" s="9" t="n">
        <v>4.9</v>
      </c>
      <c r="J139" s="9" t="n">
        <v>1.43136376415899</v>
      </c>
      <c r="K139" s="9" t="n">
        <v>7.204530946266909</v>
      </c>
      <c r="L139" s="9" t="n">
        <v>0.4712245118298998</v>
      </c>
      <c r="M139" s="9" t="n">
        <v>0.1508789884991492</v>
      </c>
      <c r="N139" s="9" t="n">
        <v>2.895296546021689</v>
      </c>
      <c r="O139" s="9" t="n">
        <v>14.37454467562377</v>
      </c>
      <c r="P139" s="9" t="n">
        <v>1.928030680563177</v>
      </c>
      <c r="Q139" s="9" t="n">
        <v>0.2658271823659658</v>
      </c>
      <c r="R139" s="9" t="n">
        <v>0.0666666666666708</v>
      </c>
      <c r="S139" s="9" t="n">
        <v>0.1352081566997842</v>
      </c>
      <c r="T139" s="9" t="n">
        <v>48852767709.89066</v>
      </c>
      <c r="U139" s="9" t="n">
        <v>5.080526342528996e-05</v>
      </c>
      <c r="V139" s="9" t="n">
        <v>2.061153622438413e-09</v>
      </c>
      <c r="W139" s="9" t="n">
        <v>2.121320343559642</v>
      </c>
      <c r="X139" s="9" t="n">
        <v>-0.3062043070109325</v>
      </c>
      <c r="Y139" s="9" t="n">
        <v>15.264315634057</v>
      </c>
      <c r="Z139" s="9" t="n">
        <v>26.52557350419044</v>
      </c>
      <c r="AA139" s="9" t="n">
        <v>15.67072701910395</v>
      </c>
      <c r="AB139" s="9" t="n">
        <v>24.02141080316195</v>
      </c>
      <c r="AC139" s="9" t="n">
        <v>6.037417775240916</v>
      </c>
      <c r="AD139" s="9" t="n">
        <v>47.41557060185005</v>
      </c>
      <c r="AE139" s="9" t="n">
        <v>6324.638140046292</v>
      </c>
      <c r="AF139" s="9" t="n">
        <v>13345.64102199074</v>
      </c>
      <c r="AG139" s="9" t="n">
        <v>17810.74672800926</v>
      </c>
      <c r="AH139" s="8" t="inlineStr">
        <is>
          <t>Moderate (5.0-5.9)</t>
        </is>
      </c>
    </row>
    <row r="140">
      <c r="A140" s="8" t="inlineStr">
        <is>
          <t>1973-01-19 08:05:09.600</t>
        </is>
      </c>
      <c r="B140" s="8" t="n">
        <v>1973</v>
      </c>
      <c r="C140" s="9" t="n">
        <v>5.94</v>
      </c>
      <c r="D140" s="9" t="n">
        <v>126.84</v>
      </c>
      <c r="E140" s="8" t="n">
        <v>63</v>
      </c>
      <c r="F140" s="9" t="n">
        <v>5.2</v>
      </c>
      <c r="G140" s="9" t="n">
        <v>4</v>
      </c>
      <c r="H140" s="9" t="n">
        <v>5.1</v>
      </c>
      <c r="I140" s="9" t="n">
        <v>4.925</v>
      </c>
      <c r="J140" s="9" t="n">
        <v>1.806179973983882</v>
      </c>
      <c r="K140" s="9" t="n">
        <v>9.241620866884192</v>
      </c>
      <c r="L140" s="9" t="n">
        <v>0.5627443519775217</v>
      </c>
      <c r="M140" s="9" t="n">
        <v>0.0777256106610326</v>
      </c>
      <c r="N140" s="9" t="n">
        <v>2.48168275373287</v>
      </c>
      <c r="O140" s="9" t="n">
        <v>12.51413720924574</v>
      </c>
      <c r="P140" s="9" t="n">
        <v>1.062384252555215</v>
      </c>
      <c r="Q140" s="9" t="n">
        <v>0.175226307807192</v>
      </c>
      <c r="R140" s="9" t="n">
        <v>-0.0166666666666648</v>
      </c>
      <c r="S140" s="9" t="n">
        <v>0.0573984868040193</v>
      </c>
      <c r="T140" s="9" t="n">
        <v>58194440567.08981</v>
      </c>
      <c r="U140" s="9" t="n">
        <v>3.814697265625139e-06</v>
      </c>
      <c r="V140" s="9" t="n">
        <v>3.588820514756982e-08</v>
      </c>
      <c r="W140" s="9" t="n">
        <v>1.154700538379252</v>
      </c>
      <c r="X140" s="9" t="n">
        <v>0.0253009201901165</v>
      </c>
      <c r="Y140" s="9" t="n">
        <v>15.264315634057</v>
      </c>
      <c r="Z140" s="9" t="n">
        <v>25.61126234391122</v>
      </c>
      <c r="AA140" s="9" t="n">
        <v>12.92510411806268</v>
      </c>
      <c r="AB140" s="9" t="n">
        <v>23.6837499978241</v>
      </c>
      <c r="AC140" s="9" t="n">
        <v>0.4162549927557022</v>
      </c>
      <c r="AD140" s="9" t="n">
        <v>48.323120370369</v>
      </c>
      <c r="AE140" s="9" t="n">
        <v>5595.988942129628</v>
      </c>
      <c r="AF140" s="9" t="n">
        <v>5595.988942129628</v>
      </c>
      <c r="AG140" s="9" t="n">
        <v>5595.988942129628</v>
      </c>
      <c r="AH140" s="8" t="inlineStr">
        <is>
          <t>Moderate (5.0-5.9)</t>
        </is>
      </c>
    </row>
    <row r="141">
      <c r="A141" s="8" t="inlineStr">
        <is>
          <t>1973-03-03 00:44:36.400</t>
        </is>
      </c>
      <c r="B141" s="8" t="n">
        <v>1973</v>
      </c>
      <c r="C141" s="9" t="n">
        <v>3.59</v>
      </c>
      <c r="D141" s="9" t="n">
        <v>126.3</v>
      </c>
      <c r="E141" s="8" t="n">
        <v>112</v>
      </c>
      <c r="F141" s="9" t="n">
        <v>5.1</v>
      </c>
      <c r="G141" s="9" t="n">
        <v>3</v>
      </c>
      <c r="H141" s="9" t="n">
        <v>5</v>
      </c>
      <c r="I141" s="9" t="n">
        <v>4.8</v>
      </c>
      <c r="J141" s="9" t="n">
        <v>1.431363764158984</v>
      </c>
      <c r="K141" s="9" t="n">
        <v>7.06139456985099</v>
      </c>
      <c r="L141" s="9" t="n">
        <v>0.4712245118298961</v>
      </c>
      <c r="M141" s="9" t="n">
        <v>0.1508789884991497</v>
      </c>
      <c r="N141" s="9" t="n">
        <v>2.895296546021689</v>
      </c>
      <c r="O141" s="9" t="n">
        <v>14.0850150210216</v>
      </c>
      <c r="P141" s="9" t="n">
        <v>1.928030680563177</v>
      </c>
      <c r="Q141" s="9" t="n">
        <v>0.2574418656994647</v>
      </c>
      <c r="R141" s="9" t="n">
        <v>0.0666666666666655</v>
      </c>
      <c r="S141" s="9" t="n">
        <v>0.1352081566997842</v>
      </c>
      <c r="T141" s="9" t="n">
        <v>39709020393.67527</v>
      </c>
      <c r="U141" s="9" t="n">
        <v>5.080526342529193e-05</v>
      </c>
      <c r="V141" s="9" t="n">
        <v>2.061153622438413e-09</v>
      </c>
      <c r="W141" s="9" t="n">
        <v>-0.6123724356957945</v>
      </c>
      <c r="X141" s="9" t="n">
        <v>4.95782220511194</v>
      </c>
      <c r="Y141" s="9" t="n">
        <v>156.068763014973</v>
      </c>
      <c r="Z141" s="9" t="n">
        <v>178.9767273202383</v>
      </c>
      <c r="AA141" s="9" t="n">
        <v>19.86690266371447</v>
      </c>
      <c r="AB141" s="9" t="n">
        <v>182.9011999139461</v>
      </c>
      <c r="AC141" s="9" t="n">
        <v>-5.712902653069638</v>
      </c>
      <c r="AD141" s="9" t="n">
        <v>4148.420097222224</v>
      </c>
      <c r="AE141" s="9" t="n">
        <v>4461.03686226852</v>
      </c>
      <c r="AF141" s="9" t="n">
        <v>12327.88285185186</v>
      </c>
      <c r="AG141" s="9" t="n">
        <v>22112.23111574075</v>
      </c>
      <c r="AH141" s="8" t="inlineStr">
        <is>
          <t>Moderate (5.0-5.9)</t>
        </is>
      </c>
    </row>
    <row r="142">
      <c r="A142" s="8" t="inlineStr">
        <is>
          <t>1973-03-07 03:09:11.500</t>
        </is>
      </c>
      <c r="B142" s="8" t="n">
        <v>1973</v>
      </c>
      <c r="C142" s="9" t="n">
        <v>5.5</v>
      </c>
      <c r="D142" s="9" t="n">
        <v>126.63</v>
      </c>
      <c r="E142" s="8" t="n">
        <v>81</v>
      </c>
      <c r="F142" s="9" t="n">
        <v>5.2</v>
      </c>
      <c r="G142" s="9" t="n">
        <v>4</v>
      </c>
      <c r="H142" s="9" t="n">
        <v>5.3</v>
      </c>
      <c r="I142" s="9" t="n">
        <v>5.100000000000001</v>
      </c>
      <c r="J142" s="9" t="n">
        <v>1.380211241711608</v>
      </c>
      <c r="K142" s="9" t="n">
        <v>7.375325580204318</v>
      </c>
      <c r="L142" s="9" t="n">
        <v>0.3999708433568573</v>
      </c>
      <c r="M142" s="9" t="n">
        <v>0.0623424306088073</v>
      </c>
      <c r="N142" s="9" t="n">
        <v>1.737177927613007</v>
      </c>
      <c r="O142" s="9" t="n">
        <v>9.114231836631699</v>
      </c>
      <c r="P142" s="9" t="n">
        <v>0.6336155371838889</v>
      </c>
      <c r="Q142" s="9" t="n">
        <v>0.1240978381619172</v>
      </c>
      <c r="R142" s="9" t="n">
        <v>-0.0436208583971078</v>
      </c>
      <c r="S142" s="9" t="n">
        <v>0.0534264097200267</v>
      </c>
      <c r="T142" s="9" t="n">
        <v>86133208493.01201</v>
      </c>
      <c r="U142" s="9" t="n">
        <v>7.23379629629622e-05</v>
      </c>
      <c r="V142" s="9" t="n">
        <v>6.144212353328218e-06</v>
      </c>
      <c r="W142" s="9" t="n">
        <v>1.154700538379252</v>
      </c>
      <c r="X142" s="9" t="n">
        <v>0.594405666954682</v>
      </c>
      <c r="Y142" s="9" t="n">
        <v>2.42642838318513</v>
      </c>
      <c r="Z142" s="9" t="n">
        <v>31.97042324600633</v>
      </c>
      <c r="AA142" s="9" t="n">
        <v>21.913610192044</v>
      </c>
      <c r="AB142" s="9" t="n">
        <v>40.78166146679594</v>
      </c>
      <c r="AC142" s="9" t="n">
        <v>3.960304724924214</v>
      </c>
      <c r="AD142" s="9" t="n">
        <v>3575.497934027775</v>
      </c>
      <c r="AE142" s="9" t="n">
        <v>5642.783408564814</v>
      </c>
      <c r="AF142" s="9" t="n">
        <v>5642.783408564814</v>
      </c>
      <c r="AG142" s="9" t="n">
        <v>5642.783408564814</v>
      </c>
      <c r="AH142" s="8" t="inlineStr">
        <is>
          <t>Moderate (5.0-5.9)</t>
        </is>
      </c>
    </row>
    <row r="143">
      <c r="A143" s="8" t="inlineStr">
        <is>
          <t>1973-03-09 10:06:37.700</t>
        </is>
      </c>
      <c r="B143" s="8" t="n">
        <v>1973</v>
      </c>
      <c r="C143" s="9" t="n">
        <v>6.27</v>
      </c>
      <c r="D143" s="9" t="n">
        <v>127.34</v>
      </c>
      <c r="E143" s="8" t="n">
        <v>55</v>
      </c>
      <c r="F143" s="9" t="n">
        <v>6</v>
      </c>
      <c r="G143" s="9" t="n">
        <v>3</v>
      </c>
      <c r="H143" s="9" t="n">
        <v>5.3</v>
      </c>
      <c r="I143" s="9" t="n">
        <v>5.166666666666667</v>
      </c>
      <c r="J143" s="9" t="n">
        <v>1.431363764159001</v>
      </c>
      <c r="K143" s="9" t="n">
        <v>7.641318696930761</v>
      </c>
      <c r="L143" s="9" t="n">
        <v>0.4155809566599162</v>
      </c>
      <c r="M143" s="9" t="n">
        <v>0.07137846678465171</v>
      </c>
      <c r="N143" s="9" t="n">
        <v>2.0044360703227</v>
      </c>
      <c r="O143" s="9" t="n">
        <v>10.49930160633316</v>
      </c>
      <c r="P143" s="9" t="n">
        <v>0.8149669936305562</v>
      </c>
      <c r="Q143" s="9" t="n">
        <v>0.14894548736581</v>
      </c>
      <c r="R143" s="9" t="n">
        <v>-0.0384882922619089</v>
      </c>
      <c r="S143" s="9" t="n">
        <v>0.0619673374552425</v>
      </c>
      <c r="T143" s="9" t="n">
        <v>82208492002.30505</v>
      </c>
      <c r="U143" s="9" t="n">
        <v>5.080526342528611e-05</v>
      </c>
      <c r="V143" s="9" t="n">
        <v>9.698214581498481e-07</v>
      </c>
      <c r="W143" s="9" t="n">
        <v>0.4472135954999578</v>
      </c>
      <c r="X143" s="9" t="n">
        <v>-0.3991619679744245</v>
      </c>
      <c r="Y143" s="9" t="n">
        <v>28.8475182745144</v>
      </c>
      <c r="Z143" s="9" t="n">
        <v>41.8184215336134</v>
      </c>
      <c r="AA143" s="9" t="n">
        <v>11.76482238867259</v>
      </c>
      <c r="AB143" s="9" t="n">
        <v>45.4522982911199</v>
      </c>
      <c r="AC143" s="9" t="n">
        <v>1.875044880779508</v>
      </c>
      <c r="AD143" s="9" t="n">
        <v>97.40747337962966</v>
      </c>
      <c r="AE143" s="9" t="n">
        <v>5645.073295138889</v>
      </c>
      <c r="AF143" s="9" t="n">
        <v>5645.073295138889</v>
      </c>
      <c r="AG143" s="9" t="n">
        <v>5645.073295138889</v>
      </c>
      <c r="AH143" s="8" t="inlineStr">
        <is>
          <t>Strong (6.0-6.9)</t>
        </is>
      </c>
    </row>
    <row r="144">
      <c r="A144" s="8" t="inlineStr">
        <is>
          <t>1973-03-12 12:39:02.000</t>
        </is>
      </c>
      <c r="B144" s="8" t="n">
        <v>1973</v>
      </c>
      <c r="C144" s="9" t="n">
        <v>4.16</v>
      </c>
      <c r="D144" s="9" t="n">
        <v>126.49</v>
      </c>
      <c r="E144" s="8" t="n">
        <v>37</v>
      </c>
      <c r="F144" s="9" t="n">
        <v>5.5</v>
      </c>
      <c r="G144" s="9" t="n">
        <v>3</v>
      </c>
      <c r="H144" s="9" t="n">
        <v>5.1</v>
      </c>
      <c r="I144" s="9" t="n">
        <v>4.866666666666667</v>
      </c>
      <c r="J144" s="9" t="n">
        <v>1.255272505103306</v>
      </c>
      <c r="K144" s="9" t="n">
        <v>6.306465525082925</v>
      </c>
      <c r="L144" s="9" t="n">
        <v>0.4355663194183811</v>
      </c>
      <c r="M144" s="9" t="n">
        <v>0.0994848859037929</v>
      </c>
      <c r="N144" s="9" t="n">
        <v>2.0044360703227</v>
      </c>
      <c r="O144" s="9" t="n">
        <v>9.897970785236351</v>
      </c>
      <c r="P144" s="9" t="n">
        <v>1.110612804407287</v>
      </c>
      <c r="Q144" s="9" t="n">
        <v>0.1783482304306544</v>
      </c>
      <c r="R144" s="9" t="n">
        <v>0.07601875334318819</v>
      </c>
      <c r="S144" s="9" t="n">
        <v>0.1619673374552421</v>
      </c>
      <c r="T144" s="9" t="n">
        <v>47312580050.01458</v>
      </c>
      <c r="U144" s="9" t="n">
        <v>0.0001714677640603</v>
      </c>
      <c r="V144" s="9" t="n">
        <v>9.698214581498481e-07</v>
      </c>
      <c r="W144" s="9" t="n">
        <v>0.6123724356957945</v>
      </c>
      <c r="X144" s="9" t="n">
        <v>4.308100197271101</v>
      </c>
      <c r="Y144" s="9" t="n">
        <v>156.068763014973</v>
      </c>
      <c r="Z144" s="9" t="n">
        <v>182.0637067669124</v>
      </c>
      <c r="AA144" s="9" t="n">
        <v>27.17237610862637</v>
      </c>
      <c r="AB144" s="9" t="n">
        <v>195.0754305482333</v>
      </c>
      <c r="AC144" s="9" t="n">
        <v>1.714030084831</v>
      </c>
      <c r="AD144" s="9" t="n">
        <v>4157.916226851852</v>
      </c>
      <c r="AE144" s="9" t="n">
        <v>12337.37898148148</v>
      </c>
      <c r="AF144" s="9" t="n">
        <v>12337.37898148148</v>
      </c>
      <c r="AG144" s="9" t="n">
        <v>13494.43717592593</v>
      </c>
      <c r="AH144" s="8" t="inlineStr">
        <is>
          <t>Moderate (5.0-5.9)</t>
        </is>
      </c>
    </row>
    <row r="145">
      <c r="A145" s="8" t="inlineStr">
        <is>
          <t>1973-03-16 01:09:07.400</t>
        </is>
      </c>
      <c r="B145" s="8" t="n">
        <v>1973</v>
      </c>
      <c r="C145" s="9" t="n">
        <v>2.04</v>
      </c>
      <c r="D145" s="9" t="n">
        <v>126.39</v>
      </c>
      <c r="E145" s="8" t="n">
        <v>33</v>
      </c>
      <c r="F145" s="9" t="n">
        <v>5.2</v>
      </c>
      <c r="G145" s="9" t="n">
        <v>3</v>
      </c>
      <c r="H145" s="9" t="n">
        <v>6</v>
      </c>
      <c r="I145" s="9" t="n">
        <v>5.366666666666667</v>
      </c>
      <c r="J145" s="9" t="n">
        <v>0.3678818936174715</v>
      </c>
      <c r="K145" s="9" t="n">
        <v>2.152763218308296</v>
      </c>
      <c r="L145" s="9" t="n">
        <v>0.116929816556462</v>
      </c>
      <c r="M145" s="9" t="n">
        <v>0.076977207890372</v>
      </c>
      <c r="N145" s="9" t="n">
        <v>0.6059923003301187</v>
      </c>
      <c r="O145" s="9" t="n">
        <v>3.325285066271221</v>
      </c>
      <c r="P145" s="9" t="n">
        <v>0.3172799686762353</v>
      </c>
      <c r="Q145" s="9" t="n">
        <v>0.1640532310489917</v>
      </c>
      <c r="R145" s="9" t="n">
        <v>0.1482218732222575</v>
      </c>
      <c r="S145" s="9" t="n">
        <v>0.5126611931211871</v>
      </c>
      <c r="T145" s="9" t="n">
        <v>261977503234.209</v>
      </c>
      <c r="U145" s="9" t="n">
        <v>0.0787688162997193</v>
      </c>
      <c r="V145" s="9" t="n">
        <v>0.0152062840590658</v>
      </c>
      <c r="W145" s="9" t="n">
        <v>-0.4472135954999578</v>
      </c>
      <c r="X145" s="9" t="n">
        <v>5.375620014486486</v>
      </c>
      <c r="Y145" s="9" t="n">
        <v>321.031405815436</v>
      </c>
      <c r="Z145" s="9" t="n">
        <v>339.828218704671</v>
      </c>
      <c r="AA145" s="9" t="n">
        <v>16.29026758917252</v>
      </c>
      <c r="AB145" s="9" t="n">
        <v>349.4239514059628</v>
      </c>
      <c r="AC145" s="9" t="n">
        <v>3.767677372474059</v>
      </c>
      <c r="AD145" s="9" t="n">
        <v>0.0120416666686651</v>
      </c>
      <c r="AE145" s="9" t="n">
        <v>7616.165444444447</v>
      </c>
      <c r="AF145" s="9" t="n">
        <v>43535.17270833333</v>
      </c>
      <c r="AG145" s="9" t="n">
        <v>43535.17270833333</v>
      </c>
      <c r="AH145" s="8" t="inlineStr">
        <is>
          <t>Moderate (5.0-5.9)</t>
        </is>
      </c>
    </row>
    <row r="146">
      <c r="A146" s="8" t="inlineStr">
        <is>
          <t>1973-03-16 02:12:23.300</t>
        </is>
      </c>
      <c r="B146" s="8" t="n">
        <v>1973</v>
      </c>
      <c r="C146" s="9" t="n">
        <v>2.01</v>
      </c>
      <c r="D146" s="9" t="n">
        <v>126.55</v>
      </c>
      <c r="E146" s="8" t="n">
        <v>47</v>
      </c>
      <c r="F146" s="9" t="n">
        <v>5.5</v>
      </c>
      <c r="G146" s="9" t="n">
        <v>4</v>
      </c>
      <c r="H146" s="9" t="n">
        <v>6</v>
      </c>
      <c r="I146" s="9" t="n">
        <v>5.325</v>
      </c>
      <c r="J146" s="9" t="n">
        <v>0.5390334901637734</v>
      </c>
      <c r="K146" s="9" t="n">
        <v>3.140238190680062</v>
      </c>
      <c r="L146" s="9" t="n">
        <v>0.1796815363091829</v>
      </c>
      <c r="M146" s="9" t="n">
        <v>0.08791701174906499</v>
      </c>
      <c r="N146" s="9" t="n">
        <v>0.6433992324492621</v>
      </c>
      <c r="O146" s="9" t="n">
        <v>3.626036383839494</v>
      </c>
      <c r="P146" s="9" t="n">
        <v>0.2559959129123494</v>
      </c>
      <c r="Q146" s="9" t="n">
        <v>0.1237144186358457</v>
      </c>
      <c r="R146" s="9" t="n">
        <v>0.1743170916412442</v>
      </c>
      <c r="S146" s="9" t="n">
        <v>0.364251306244074</v>
      </c>
      <c r="T146" s="9" t="n">
        <v>266313874692.2466</v>
      </c>
      <c r="U146" s="9" t="n">
        <v>0.0241490210188497</v>
      </c>
      <c r="V146" s="9" t="n">
        <v>0.0117436284570213</v>
      </c>
      <c r="W146" s="9" t="n">
        <v>-0.6324555320336758</v>
      </c>
      <c r="X146" s="9" t="n">
        <v>6.798722616979547</v>
      </c>
      <c r="Y146" s="9" t="n">
        <v>321.031405815436</v>
      </c>
      <c r="Z146" s="9" t="n">
        <v>344.773341286897</v>
      </c>
      <c r="AA146" s="9" t="n">
        <v>16.57504634978527</v>
      </c>
      <c r="AB146" s="9" t="n">
        <v>349.9593706968733</v>
      </c>
      <c r="AC146" s="9" t="n">
        <v>4.229932048256819</v>
      </c>
      <c r="AD146" s="9" t="n">
        <v>0.0559756944421678</v>
      </c>
      <c r="AE146" s="9" t="n">
        <v>7616.20937847222</v>
      </c>
      <c r="AF146" s="9" t="n">
        <v>12575.22520023148</v>
      </c>
      <c r="AG146" s="9" t="n">
        <v>43535.17270833333</v>
      </c>
      <c r="AH146" s="8" t="inlineStr">
        <is>
          <t>Moderate (5.0-5.9)</t>
        </is>
      </c>
    </row>
    <row r="147">
      <c r="A147" s="8" t="inlineStr">
        <is>
          <t>1973-03-18 11:06:14.700</t>
        </is>
      </c>
      <c r="B147" s="8" t="n">
        <v>1973</v>
      </c>
      <c r="C147" s="9" t="n">
        <v>2.03</v>
      </c>
      <c r="D147" s="9" t="n">
        <v>126.59</v>
      </c>
      <c r="E147" s="8" t="n">
        <v>33</v>
      </c>
      <c r="F147" s="9" t="n">
        <v>6</v>
      </c>
      <c r="G147" s="9" t="n">
        <v>5</v>
      </c>
      <c r="H147" s="9" t="n">
        <v>6</v>
      </c>
      <c r="I147" s="9" t="n">
        <v>5.36</v>
      </c>
      <c r="J147" s="9" t="n">
        <v>0.7298382778220101</v>
      </c>
      <c r="K147" s="9" t="n">
        <v>4.282911319997884</v>
      </c>
      <c r="L147" s="9" t="n">
        <v>0.258731043151616</v>
      </c>
      <c r="M147" s="9" t="n">
        <v>0.1025406107665925</v>
      </c>
      <c r="N147" s="9" t="n">
        <v>0.6433992324492621</v>
      </c>
      <c r="O147" s="9" t="n">
        <v>3.754716230329347</v>
      </c>
      <c r="P147" s="9" t="n">
        <v>0.2010741966813129</v>
      </c>
      <c r="Q147" s="9" t="n">
        <v>0.114563351053883</v>
      </c>
      <c r="R147" s="9" t="n">
        <v>0.1316981444451146</v>
      </c>
      <c r="S147" s="9" t="n">
        <v>0.1642513062440729</v>
      </c>
      <c r="T147" s="9" t="n">
        <v>280831554852.442</v>
      </c>
      <c r="U147" s="9" t="n">
        <v>0.0064637591644768</v>
      </c>
      <c r="V147" s="9" t="n">
        <v>0.0117436284570213</v>
      </c>
      <c r="W147" s="9" t="n">
        <v>-0.7276068751089989</v>
      </c>
      <c r="X147" s="9" t="n">
        <v>7.601202965865766</v>
      </c>
      <c r="Y147" s="9" t="n">
        <v>321.031405815436</v>
      </c>
      <c r="Z147" s="9" t="n">
        <v>348.2340244489472</v>
      </c>
      <c r="AA147" s="9" t="n">
        <v>16.30738363023439</v>
      </c>
      <c r="AB147" s="9" t="n">
        <v>351.5230520858941</v>
      </c>
      <c r="AC147" s="9" t="n">
        <v>4.543466297416782</v>
      </c>
      <c r="AD147" s="9" t="n">
        <v>2.426709490740905</v>
      </c>
      <c r="AE147" s="9" t="n">
        <v>7618.580112268519</v>
      </c>
      <c r="AF147" s="9" t="n">
        <v>12577.59593402778</v>
      </c>
      <c r="AG147" s="9" t="n">
        <v>43535.17270833333</v>
      </c>
      <c r="AH147" s="8" t="inlineStr">
        <is>
          <t>Strong (6.0-6.9)</t>
        </is>
      </c>
    </row>
    <row r="148">
      <c r="A148" s="8" t="inlineStr">
        <is>
          <t>1973-03-18 11:23:43.800</t>
        </is>
      </c>
      <c r="B148" s="8" t="n">
        <v>1973</v>
      </c>
      <c r="C148" s="9" t="n">
        <v>2.15</v>
      </c>
      <c r="D148" s="9" t="n">
        <v>126.79</v>
      </c>
      <c r="E148" s="8" t="n">
        <v>32</v>
      </c>
      <c r="F148" s="9" t="n">
        <v>5.2</v>
      </c>
      <c r="G148" s="9" t="n">
        <v>6</v>
      </c>
      <c r="H148" s="9" t="n">
        <v>6</v>
      </c>
      <c r="I148" s="9" t="n">
        <v>5.466666666666666</v>
      </c>
      <c r="J148" s="9" t="n">
        <v/>
      </c>
      <c r="K148" s="9" t="n">
        <v/>
      </c>
      <c r="L148" s="9" t="n">
        <v/>
      </c>
      <c r="M148" s="9" t="n">
        <v/>
      </c>
      <c r="N148" s="9" t="n">
        <v/>
      </c>
      <c r="O148" s="9" t="n">
        <v/>
      </c>
      <c r="P148" s="9" t="n">
        <v/>
      </c>
      <c r="Q148" s="9" t="n">
        <v/>
      </c>
      <c r="R148" s="9" t="n">
        <v/>
      </c>
      <c r="S148" s="9" t="n">
        <v/>
      </c>
      <c r="T148" s="9" t="n">
        <v>376778577746.744</v>
      </c>
      <c r="U148" s="9" t="n">
        <v/>
      </c>
      <c r="V148" s="9" t="n">
        <v/>
      </c>
      <c r="W148" s="9" t="n">
        <v>-0.9797958971132712</v>
      </c>
      <c r="X148" s="9" t="n">
        <v>8.757171500436238</v>
      </c>
      <c r="Y148" s="9" t="n">
        <v>321.031405815436</v>
      </c>
      <c r="Z148" s="9" t="n">
        <v>349.8945037814353</v>
      </c>
      <c r="AA148" s="9" t="n">
        <v>15.14225076970496</v>
      </c>
      <c r="AB148" s="9" t="n">
        <v>354.3295054920262</v>
      </c>
      <c r="AC148" s="9" t="n">
        <v>4.103759137098262</v>
      </c>
      <c r="AD148" s="9" t="n">
        <v>0.0121423611089994</v>
      </c>
      <c r="AE148" s="9" t="n">
        <v>7618.592254629628</v>
      </c>
      <c r="AF148" s="9" t="n">
        <v>8267.776247685184</v>
      </c>
      <c r="AG148" s="9" t="n">
        <v>43535.17270833333</v>
      </c>
      <c r="AH148" s="8" t="inlineStr">
        <is>
          <t>Moderate (5.0-5.9)</t>
        </is>
      </c>
    </row>
    <row r="149">
      <c r="A149" s="8" t="inlineStr">
        <is>
          <t>1973-03-22 22:39:15.500</t>
        </is>
      </c>
      <c r="B149" s="8" t="n">
        <v>1973</v>
      </c>
      <c r="C149" s="9" t="n">
        <v>5.95</v>
      </c>
      <c r="D149" s="9" t="n">
        <v>126.32</v>
      </c>
      <c r="E149" s="8" t="n">
        <v>102</v>
      </c>
      <c r="F149" s="9" t="n">
        <v>5.1</v>
      </c>
      <c r="G149" s="9" t="n">
        <v>4</v>
      </c>
      <c r="H149" s="9" t="n">
        <v>4.8</v>
      </c>
      <c r="I149" s="9" t="n">
        <v>4.75</v>
      </c>
      <c r="J149" s="9" t="n">
        <v/>
      </c>
      <c r="K149" s="9" t="n">
        <v/>
      </c>
      <c r="L149" s="9" t="n">
        <v/>
      </c>
      <c r="M149" s="9" t="n">
        <v/>
      </c>
      <c r="N149" s="9" t="n">
        <v>4.342944819032533</v>
      </c>
      <c r="O149" s="9" t="n">
        <v>21.01390064078087</v>
      </c>
      <c r="P149" s="9" t="n">
        <v>1.25229266148263</v>
      </c>
      <c r="Q149" s="9" t="n">
        <v>0.1332644862392697</v>
      </c>
      <c r="R149" s="9" t="n">
        <v/>
      </c>
      <c r="S149" s="9" t="n">
        <v>-0.0386294361119894</v>
      </c>
      <c r="T149" s="9" t="n">
        <v>38076737847.47914</v>
      </c>
      <c r="U149" s="9" t="n">
        <v/>
      </c>
      <c r="V149" s="9" t="n">
        <v>9.357622968839193e-14</v>
      </c>
      <c r="W149" s="9" t="n">
        <v>1.921537845661046</v>
      </c>
      <c r="X149" s="9" t="n">
        <v>0.7312992101722349</v>
      </c>
      <c r="Y149" s="9" t="n">
        <v>29.58181100824351</v>
      </c>
      <c r="Z149" s="9" t="n">
        <v>51.38302979163885</v>
      </c>
      <c r="AA149" s="9" t="n">
        <v>20.10249524554459</v>
      </c>
      <c r="AB149" s="9" t="n">
        <v>54.2071331408387</v>
      </c>
      <c r="AC149" s="9" t="n">
        <v>7.157685128335859</v>
      </c>
      <c r="AD149" s="9" t="n">
        <v>110.9301331018505</v>
      </c>
      <c r="AE149" s="9" t="n">
        <v>941.406862268519</v>
      </c>
      <c r="AF149" s="9" t="n">
        <v>941.406862268519</v>
      </c>
      <c r="AG149" s="9" t="n">
        <v>941.406862268519</v>
      </c>
      <c r="AH149" s="8" t="inlineStr">
        <is>
          <t>Moderate (5.0-5.9)</t>
        </is>
      </c>
    </row>
    <row r="150">
      <c r="A150" s="8" t="inlineStr">
        <is>
          <t>1973-04-11 04:25:40.600</t>
        </is>
      </c>
      <c r="B150" s="8" t="n">
        <v>1973</v>
      </c>
      <c r="C150" s="9" t="n">
        <v>11.82</v>
      </c>
      <c r="D150" s="9" t="n">
        <v>122.31</v>
      </c>
      <c r="E150" s="8" t="n">
        <v>21</v>
      </c>
      <c r="F150" s="9" t="n">
        <v>5</v>
      </c>
      <c r="G150" s="9" t="n">
        <v>4</v>
      </c>
      <c r="H150" s="9" t="n">
        <v>5.4</v>
      </c>
      <c r="I150" s="9" t="n">
        <v>5.125</v>
      </c>
      <c r="J150" s="9" t="n">
        <v>0.6694226204453784</v>
      </c>
      <c r="K150" s="9" t="n">
        <v>3.769659858440981</v>
      </c>
      <c r="L150" s="9" t="n">
        <v>0.1595353408390493</v>
      </c>
      <c r="M150" s="9" t="n">
        <v>0.08867371071975889</v>
      </c>
      <c r="N150" s="9" t="n">
        <v>0.9143041724278992</v>
      </c>
      <c r="O150" s="9" t="n">
        <v>4.899289601739089</v>
      </c>
      <c r="P150" s="9" t="n">
        <v>0.2976031617462827</v>
      </c>
      <c r="Q150" s="9" t="n">
        <v>0.1566876544043745</v>
      </c>
      <c r="R150" s="9" t="n">
        <v>-0.231210752831986</v>
      </c>
      <c r="S150" s="9" t="n">
        <v>0.0415101784680524</v>
      </c>
      <c r="T150" s="9" t="n">
        <v>102554412414.9318</v>
      </c>
      <c r="U150" s="9" t="n">
        <v>0.009811426135806</v>
      </c>
      <c r="V150" s="9" t="n">
        <v>0.0018075381933252</v>
      </c>
      <c r="W150" s="9" t="n">
        <v>-0.6324555320336758</v>
      </c>
      <c r="X150" s="9" t="n">
        <v>10.01427552475536</v>
      </c>
      <c r="Y150" s="9" t="n">
        <v>29.4354740622279</v>
      </c>
      <c r="Z150" s="9" t="n">
        <v>48.08999324222778</v>
      </c>
      <c r="AA150" s="9" t="n">
        <v>24.86984837265972</v>
      </c>
      <c r="AB150" s="9" t="n">
        <v>38.80697354097844</v>
      </c>
      <c r="AC150" s="9" t="n">
        <v>3.300860958570695</v>
      </c>
      <c r="AD150" s="9" t="n">
        <v>3926.656364583329</v>
      </c>
      <c r="AE150" s="9" t="n">
        <v>7947.945377314814</v>
      </c>
      <c r="AF150" s="9" t="n">
        <v>43535.17270833333</v>
      </c>
      <c r="AG150" s="9" t="n">
        <v>43535.17270833333</v>
      </c>
      <c r="AH150" s="8" t="inlineStr">
        <is>
          <t>Moderate (5.0-5.9)</t>
        </is>
      </c>
    </row>
    <row r="151">
      <c r="A151" s="8" t="inlineStr">
        <is>
          <t>1973-07-08 00:02:46.400</t>
        </is>
      </c>
      <c r="B151" s="8" t="n">
        <v>1973</v>
      </c>
      <c r="C151" s="9" t="n">
        <v>12.29</v>
      </c>
      <c r="D151" s="9" t="n">
        <v>125.63</v>
      </c>
      <c r="E151" s="8" t="n">
        <v>47</v>
      </c>
      <c r="F151" s="9" t="n">
        <v>5.3</v>
      </c>
      <c r="G151" s="9" t="n">
        <v>10</v>
      </c>
      <c r="H151" s="9" t="n">
        <v>6.5</v>
      </c>
      <c r="I151" s="9" t="n">
        <v>5.26</v>
      </c>
      <c r="J151" s="9" t="n">
        <v>0.3262912540413794</v>
      </c>
      <c r="K151" s="9" t="n">
        <v>2.016690460462202</v>
      </c>
      <c r="L151" s="9" t="n">
        <v>0.0426011182339984</v>
      </c>
      <c r="M151" s="9" t="n">
        <v>0.1455037152936528</v>
      </c>
      <c r="N151" s="9" t="n">
        <v>1.240841376866438</v>
      </c>
      <c r="O151" s="9" t="n">
        <v>7.302603426406729</v>
      </c>
      <c r="P151" s="9" t="n">
        <v>0.6160878822803344</v>
      </c>
      <c r="Q151" s="9" t="n">
        <v>0.4076172524871758</v>
      </c>
      <c r="R151" s="9" t="n">
        <v>0.3193548387096809</v>
      </c>
      <c r="S151" s="9" t="n">
        <v>0.6147969736080396</v>
      </c>
      <c r="T151" s="9" t="n">
        <v>727318504922.3977</v>
      </c>
      <c r="U151" s="9" t="n">
        <v>0.1049847547114936</v>
      </c>
      <c r="V151" s="9" t="n">
        <v>0.0001894418252328</v>
      </c>
      <c r="W151" s="9" t="n">
        <v>-1.287423226268624</v>
      </c>
      <c r="X151" s="9" t="n">
        <v>14.33905622563308</v>
      </c>
      <c r="Y151" s="9" t="n">
        <v>24.936576331307</v>
      </c>
      <c r="Z151" s="9" t="n">
        <v>47.4715783808787</v>
      </c>
      <c r="AA151" s="9" t="n">
        <v>10.59173017637461</v>
      </c>
      <c r="AB151" s="9" t="n">
        <v>47.7756122206623</v>
      </c>
      <c r="AC151" s="9" t="n">
        <v>-0.6605465414276666</v>
      </c>
      <c r="AD151" s="9" t="n">
        <v>4.708119212962629</v>
      </c>
      <c r="AE151" s="9" t="n">
        <v>4.708119212962629</v>
      </c>
      <c r="AF151" s="9" t="n">
        <v>17403.49081481481</v>
      </c>
      <c r="AG151" s="9" t="n">
        <v>43535.17270833333</v>
      </c>
      <c r="AH151" s="8" t="inlineStr">
        <is>
          <t>Moderate (5.0-5.9)</t>
        </is>
      </c>
    </row>
    <row r="152">
      <c r="A152" s="8" t="inlineStr">
        <is>
          <t>1973-09-23 16:40:34.800</t>
        </is>
      </c>
      <c r="B152" s="8" t="n">
        <v>1973</v>
      </c>
      <c r="C152" s="9" t="n">
        <v>9.94</v>
      </c>
      <c r="D152" s="9" t="n">
        <v>126.35</v>
      </c>
      <c r="E152" s="8" t="n">
        <v>46</v>
      </c>
      <c r="F152" s="9" t="n">
        <v>5.2</v>
      </c>
      <c r="G152" s="9" t="n">
        <v>7</v>
      </c>
      <c r="H152" s="9" t="n">
        <v>5.8</v>
      </c>
      <c r="I152" s="9" t="n">
        <v>5.014285714285714</v>
      </c>
      <c r="J152" s="9" t="n">
        <v>0.8000623695908142</v>
      </c>
      <c r="K152" s="9" t="n">
        <v>4.503284419253018</v>
      </c>
      <c r="L152" s="9" t="n">
        <v>0.2413322737707434</v>
      </c>
      <c r="M152" s="9" t="n">
        <v>0.08330900235996611</v>
      </c>
      <c r="N152" s="9" t="n">
        <v>0.9650988486738924</v>
      </c>
      <c r="O152" s="9" t="n">
        <v>5.314115839150939</v>
      </c>
      <c r="P152" s="9" t="n">
        <v>0.3511650707399587</v>
      </c>
      <c r="Q152" s="9" t="n">
        <v>0.1168864016449788</v>
      </c>
      <c r="R152" s="9" t="n">
        <v>0.1713332979825201</v>
      </c>
      <c r="S152" s="9" t="n">
        <v>0.2937082388473744</v>
      </c>
      <c r="T152" s="9" t="n">
        <v>184485017706.2701</v>
      </c>
      <c r="U152" s="9" t="n">
        <v>0.0039793568944304</v>
      </c>
      <c r="V152" s="9" t="n">
        <v>0.0012726338013398</v>
      </c>
      <c r="W152" s="9" t="n">
        <v>-1.25</v>
      </c>
      <c r="X152" s="9" t="n">
        <v>11.55017818121119</v>
      </c>
      <c r="Y152" s="9" t="n">
        <v>5.73747763545059</v>
      </c>
      <c r="Z152" s="9" t="n">
        <v>50.24862149947459</v>
      </c>
      <c r="AA152" s="9" t="n">
        <v>24.5641578318582</v>
      </c>
      <c r="AB152" s="9" t="n">
        <v>57.729997025749</v>
      </c>
      <c r="AC152" s="9" t="n">
        <v>-1.441607271204313</v>
      </c>
      <c r="AD152" s="9" t="n">
        <v>2227.050304398148</v>
      </c>
      <c r="AE152" s="9" t="n">
        <v>6068.093655092594</v>
      </c>
      <c r="AF152" s="9" t="n">
        <v>7858.238516203703</v>
      </c>
      <c r="AG152" s="9" t="n">
        <v>7858.238516203703</v>
      </c>
      <c r="AH152" s="8" t="inlineStr">
        <is>
          <t>Moderate (5.0-5.9)</t>
        </is>
      </c>
    </row>
    <row r="153">
      <c r="A153" s="8" t="inlineStr">
        <is>
          <t>1973-09-24 10:41:10.500</t>
        </is>
      </c>
      <c r="B153" s="8" t="n">
        <v>1973</v>
      </c>
      <c r="C153" s="9" t="n">
        <v>9.82</v>
      </c>
      <c r="D153" s="9" t="n">
        <v>126.56</v>
      </c>
      <c r="E153" s="8" t="n">
        <v>45</v>
      </c>
      <c r="F153" s="9" t="n">
        <v>5</v>
      </c>
      <c r="G153" s="9" t="n">
        <v>9</v>
      </c>
      <c r="H153" s="9" t="n">
        <v>5.8</v>
      </c>
      <c r="I153" s="9" t="n">
        <v>5</v>
      </c>
      <c r="J153" s="9" t="n">
        <v>0.9241117390777396</v>
      </c>
      <c r="K153" s="9" t="n">
        <v>5.212121927803464</v>
      </c>
      <c r="L153" s="9" t="n">
        <v>0.2598339136023774</v>
      </c>
      <c r="M153" s="9" t="n">
        <v>0.1097138997944567</v>
      </c>
      <c r="N153" s="9" t="n">
        <v>1.059254833910372</v>
      </c>
      <c r="O153" s="9" t="n">
        <v>5.889318690496843</v>
      </c>
      <c r="P153" s="9" t="n">
        <v>0.3413876212660238</v>
      </c>
      <c r="Q153" s="9" t="n">
        <v>0.1197615198597677</v>
      </c>
      <c r="R153" s="9" t="n">
        <v>0.1598574637682404</v>
      </c>
      <c r="S153" s="9" t="n">
        <v>0.2401304559020198</v>
      </c>
      <c r="T153" s="9" t="n">
        <v>191347831346.9045</v>
      </c>
      <c r="U153" s="9" t="n">
        <v>0.0016891366408518</v>
      </c>
      <c r="V153" s="9" t="n">
        <v>0.0006641030858712</v>
      </c>
      <c r="W153" s="9" t="n">
        <v>-1.390758974918296</v>
      </c>
      <c r="X153" s="9" t="n">
        <v>13.46694693903039</v>
      </c>
      <c r="Y153" s="9" t="n">
        <v>5.73747763545059</v>
      </c>
      <c r="Z153" s="9" t="n">
        <v>50.01659045743337</v>
      </c>
      <c r="AA153" s="9" t="n">
        <v>21.98640944825576</v>
      </c>
      <c r="AB153" s="9" t="n">
        <v>57.65246102414883</v>
      </c>
      <c r="AC153" s="9" t="n">
        <v>-1.386258223187081</v>
      </c>
      <c r="AD153" s="9" t="n">
        <v>2227.800717592592</v>
      </c>
      <c r="AE153" s="9" t="n">
        <v>6068.844068287039</v>
      </c>
      <c r="AF153" s="9" t="n">
        <v>7858.988929398147</v>
      </c>
      <c r="AG153" s="9" t="n">
        <v>7858.988929398147</v>
      </c>
      <c r="AH153" s="8" t="inlineStr">
        <is>
          <t>Moderate (5.0-5.9)</t>
        </is>
      </c>
    </row>
    <row r="154">
      <c r="A154" s="8" t="inlineStr">
        <is>
          <t>1973-09-30 10:09:28.500</t>
        </is>
      </c>
      <c r="B154" s="8" t="n">
        <v>1973</v>
      </c>
      <c r="C154" s="9" t="n">
        <v>9.92</v>
      </c>
      <c r="D154" s="9" t="n">
        <v>126.12</v>
      </c>
      <c r="E154" s="8" t="n">
        <v>77</v>
      </c>
      <c r="F154" s="9" t="n">
        <v>5.2</v>
      </c>
      <c r="G154" s="9" t="n">
        <v>10</v>
      </c>
      <c r="H154" s="9" t="n">
        <v>5.4</v>
      </c>
      <c r="I154" s="9" t="n">
        <v>4.96</v>
      </c>
      <c r="J154" s="9" t="n">
        <v>1.488432861297895</v>
      </c>
      <c r="K154" s="9" t="n">
        <v>8.141651318422706</v>
      </c>
      <c r="L154" s="9" t="n">
        <v>0.4694742318382903</v>
      </c>
      <c r="M154" s="9" t="n">
        <v>0.07265386308675401</v>
      </c>
      <c r="N154" s="9" t="n">
        <v>1.447648273010844</v>
      </c>
      <c r="O154" s="9" t="n">
        <v>7.871627788136782</v>
      </c>
      <c r="P154" s="9" t="n">
        <v>0.4440985689798574</v>
      </c>
      <c r="Q154" s="9" t="n">
        <v>0.1704451381277016</v>
      </c>
      <c r="R154" s="9" t="n">
        <v>-0.06994864875751799</v>
      </c>
      <c r="S154" s="9" t="n">
        <v>-0.0375278407684147</v>
      </c>
      <c r="T154" s="9" t="n">
        <v>123773099380.5982</v>
      </c>
      <c r="U154" s="9" t="n">
        <v>3.425322096030875e-05</v>
      </c>
      <c r="V154" s="9" t="n">
        <v>4.539992976248326e-05</v>
      </c>
      <c r="W154" s="9" t="n">
        <v>-0.7604691006293736</v>
      </c>
      <c r="X154" s="9" t="n">
        <v>13.72112865816756</v>
      </c>
      <c r="Y154" s="9" t="n">
        <v>5.73747763545059</v>
      </c>
      <c r="Z154" s="9" t="n">
        <v>44.05777308919457</v>
      </c>
      <c r="AA154" s="9" t="n">
        <v>23.71054047058273</v>
      </c>
      <c r="AB154" s="9" t="n">
        <v>42.81580740210981</v>
      </c>
      <c r="AC154" s="9" t="n">
        <v>-12.28857215794357</v>
      </c>
      <c r="AD154" s="9" t="n">
        <v>2233.778703703701</v>
      </c>
      <c r="AE154" s="9" t="n">
        <v>6074.822054398148</v>
      </c>
      <c r="AF154" s="9" t="n">
        <v>7864.966915509256</v>
      </c>
      <c r="AG154" s="9" t="n">
        <v>7864.966915509256</v>
      </c>
      <c r="AH154" s="8" t="inlineStr">
        <is>
          <t>Moderate (5.0-5.9)</t>
        </is>
      </c>
    </row>
    <row r="155">
      <c r="A155" s="8" t="inlineStr">
        <is>
          <t>1973-10-02 21:18:18.600</t>
        </is>
      </c>
      <c r="B155" s="8" t="n">
        <v>1973</v>
      </c>
      <c r="C155" s="9" t="n">
        <v>9.869999999999999</v>
      </c>
      <c r="D155" s="9" t="n">
        <v>126.15</v>
      </c>
      <c r="E155" s="8" t="n">
        <v>71</v>
      </c>
      <c r="F155" s="9" t="n">
        <v>5.8</v>
      </c>
      <c r="G155" s="9" t="n">
        <v>11</v>
      </c>
      <c r="H155" s="9" t="n">
        <v>5.3</v>
      </c>
      <c r="I155" s="9" t="n">
        <v>4.936363636363637</v>
      </c>
      <c r="J155" s="9" t="n">
        <v>1.912044829644874</v>
      </c>
      <c r="K155" s="9" t="n">
        <v>10.27607848926844</v>
      </c>
      <c r="L155" s="9" t="n">
        <v>0.6340529258661248</v>
      </c>
      <c r="M155" s="9" t="n">
        <v>0.1129067957307462</v>
      </c>
      <c r="N155" s="9" t="n">
        <v>1.842461438377432</v>
      </c>
      <c r="O155" s="9" t="n">
        <v>9.873159088063671</v>
      </c>
      <c r="P155" s="9" t="n">
        <v>0.5887435797478028</v>
      </c>
      <c r="Q155" s="9" t="n">
        <v>0.2681411830587165</v>
      </c>
      <c r="R155" s="9" t="n">
        <v>-0.0743920278150724</v>
      </c>
      <c r="S155" s="9" t="n">
        <v>-0.0586788208487538</v>
      </c>
      <c r="T155" s="9" t="n">
        <v>114119527814.2929</v>
      </c>
      <c r="U155" s="9" t="n">
        <v>1.835969706499794e-06</v>
      </c>
      <c r="V155" s="9" t="n">
        <v>2.96903751328456e-06</v>
      </c>
      <c r="W155" s="9" t="n">
        <v>1.492405014489273</v>
      </c>
      <c r="X155" s="9" t="n">
        <v>14.56022427099114</v>
      </c>
      <c r="Y155" s="9" t="n">
        <v>5.73747763545059</v>
      </c>
      <c r="Z155" s="9" t="n">
        <v>50.92892788090978</v>
      </c>
      <c r="AA155" s="9" t="n">
        <v>21.38717161608051</v>
      </c>
      <c r="AB155" s="9" t="n">
        <v>57.69759185427813</v>
      </c>
      <c r="AC155" s="9" t="n">
        <v>1.61698580026975</v>
      </c>
      <c r="AD155" s="9" t="n">
        <v>2236.243172453702</v>
      </c>
      <c r="AE155" s="9" t="n">
        <v>6077.286523148148</v>
      </c>
      <c r="AF155" s="9" t="n">
        <v>7867.431384259256</v>
      </c>
      <c r="AG155" s="9" t="n">
        <v>7867.431384259256</v>
      </c>
      <c r="AH155" s="8" t="inlineStr">
        <is>
          <t>Moderate (5.0-5.9)</t>
        </is>
      </c>
    </row>
    <row r="156">
      <c r="A156" s="8" t="inlineStr">
        <is>
          <t>1973-10-06 16:34:33.300</t>
        </is>
      </c>
      <c r="B156" s="8" t="n">
        <v>1973</v>
      </c>
      <c r="C156" s="9" t="n">
        <v>9.73</v>
      </c>
      <c r="D156" s="9" t="n">
        <v>125.62</v>
      </c>
      <c r="E156" s="8" t="n">
        <v>82</v>
      </c>
      <c r="F156" s="9" t="n">
        <v>5.5</v>
      </c>
      <c r="G156" s="9" t="n">
        <v>8</v>
      </c>
      <c r="H156" s="9" t="n">
        <v>5.8</v>
      </c>
      <c r="I156" s="9" t="n">
        <v>5.225</v>
      </c>
      <c r="J156" s="9" t="n">
        <v>0.9031970368970292</v>
      </c>
      <c r="K156" s="9" t="n">
        <v>5.329332914226724</v>
      </c>
      <c r="L156" s="9" t="n">
        <v>0.259957925700389</v>
      </c>
      <c r="M156" s="9" t="n">
        <v>0.0727456961502318</v>
      </c>
      <c r="N156" s="9" t="n">
        <v>1.059254833910372</v>
      </c>
      <c r="O156" s="9" t="n">
        <v>6.101169657278918</v>
      </c>
      <c r="P156" s="9" t="n">
        <v>0.3575517959483885</v>
      </c>
      <c r="Q156" s="9" t="n">
        <v>0.1314304203678166</v>
      </c>
      <c r="R156" s="9" t="n">
        <v>-0.1005208127518528</v>
      </c>
      <c r="S156" s="9" t="n">
        <v>0.0401304559020188</v>
      </c>
      <c r="T156" s="9" t="n">
        <v>239121089772.1954</v>
      </c>
      <c r="U156" s="9" t="n">
        <v>0.0019516812476502</v>
      </c>
      <c r="V156" s="9" t="n">
        <v>0.0006641030858712</v>
      </c>
      <c r="W156" s="9" t="n">
        <v>0.692820323027551</v>
      </c>
      <c r="X156" s="9" t="n">
        <v>10.38545454678708</v>
      </c>
      <c r="Y156" s="9" t="n">
        <v>12.9321007100033</v>
      </c>
      <c r="Z156" s="9" t="n">
        <v>50.08929548935079</v>
      </c>
      <c r="AA156" s="9" t="n">
        <v>23.06225129978512</v>
      </c>
      <c r="AB156" s="9" t="n">
        <v>45.30172030726048</v>
      </c>
      <c r="AC156" s="9" t="n">
        <v>2.407574121447911</v>
      </c>
      <c r="AD156" s="9" t="n">
        <v>2240.046120370371</v>
      </c>
      <c r="AE156" s="9" t="n">
        <v>6081.089471064817</v>
      </c>
      <c r="AF156" s="9" t="n">
        <v>7871.234332175925</v>
      </c>
      <c r="AG156" s="9" t="n">
        <v>7871.234332175925</v>
      </c>
      <c r="AH156" s="8" t="inlineStr">
        <is>
          <t>Moderate (5.0-5.9)</t>
        </is>
      </c>
    </row>
    <row r="157">
      <c r="A157" s="8" t="inlineStr">
        <is>
          <t>1973-10-09 01:44:57.500</t>
        </is>
      </c>
      <c r="B157" s="8" t="n">
        <v>1973</v>
      </c>
      <c r="C157" s="9" t="n">
        <v>16.29</v>
      </c>
      <c r="D157" s="9" t="n">
        <v>122.35</v>
      </c>
      <c r="E157" s="8" t="n">
        <v>33</v>
      </c>
      <c r="F157" s="9" t="n">
        <v>5.2</v>
      </c>
      <c r="G157" s="9" t="n">
        <v>3</v>
      </c>
      <c r="H157" s="9" t="n">
        <v>5</v>
      </c>
      <c r="I157" s="9" t="n">
        <v>4.8</v>
      </c>
      <c r="J157" s="9" t="n">
        <v>1.2552725051033</v>
      </c>
      <c r="K157" s="9" t="n">
        <v>6.241144273705363</v>
      </c>
      <c r="L157" s="9" t="n">
        <v>0.4184785835288502</v>
      </c>
      <c r="M157" s="9" t="n">
        <v>0.06779651486832509</v>
      </c>
      <c r="N157" s="9" t="n">
        <v>1.737177927613007</v>
      </c>
      <c r="O157" s="9" t="n">
        <v>8.468139721739496</v>
      </c>
      <c r="P157" s="9" t="n">
        <v>0.8014673033488809</v>
      </c>
      <c r="Q157" s="9" t="n">
        <v>0.1475779367262383</v>
      </c>
      <c r="R157" s="9" t="n">
        <v>0.0280562600295608</v>
      </c>
      <c r="S157" s="9" t="n">
        <v>0.1253469278329726</v>
      </c>
      <c r="T157" s="9" t="n">
        <v>40336855405.90012</v>
      </c>
      <c r="U157" s="9" t="n">
        <v>0.0001714677640603</v>
      </c>
      <c r="V157" s="9" t="n">
        <v>6.144212353328218e-06</v>
      </c>
      <c r="W157" s="9" t="n">
        <v>-1</v>
      </c>
      <c r="X157" s="9" t="n">
        <v>4.95782220511194</v>
      </c>
      <c r="Y157" s="9" t="n">
        <v>9.20480964500447</v>
      </c>
      <c r="Z157" s="9" t="n">
        <v>19.45625262959349</v>
      </c>
      <c r="AA157" s="9" t="n">
        <v>10.69623132127956</v>
      </c>
      <c r="AB157" s="9" t="n">
        <v>17.63479564696657</v>
      </c>
      <c r="AC157" s="9" t="n">
        <v>43.56794614157916</v>
      </c>
      <c r="AD157" s="9" t="n">
        <v>504.8201087962952</v>
      </c>
      <c r="AE157" s="9" t="n">
        <v>504.8201087962952</v>
      </c>
      <c r="AF157" s="9" t="n">
        <v>1280.840871527776</v>
      </c>
      <c r="AG157" s="9" t="n">
        <v>43535.17270833333</v>
      </c>
      <c r="AH157" s="8" t="inlineStr">
        <is>
          <t>Moderate (5.0-5.9)</t>
        </is>
      </c>
    </row>
    <row r="158">
      <c r="A158" s="8" t="inlineStr">
        <is>
          <t>1974-02-11 00:11:09.600</t>
        </is>
      </c>
      <c r="B158" s="8" t="n">
        <v>1974</v>
      </c>
      <c r="C158" s="9" t="n">
        <v>9.300000000000001</v>
      </c>
      <c r="D158" s="9" t="n">
        <v>126.8</v>
      </c>
      <c r="E158" s="8" t="n">
        <v>33</v>
      </c>
      <c r="F158" s="9" t="n">
        <v>5.1</v>
      </c>
      <c r="G158" s="9" t="n">
        <v>3</v>
      </c>
      <c r="H158" s="9" t="n">
        <v>5.3</v>
      </c>
      <c r="I158" s="9" t="n">
        <v>5.133333333333333</v>
      </c>
      <c r="J158" s="9" t="n">
        <v>0.9542425094393264</v>
      </c>
      <c r="K158" s="9" t="n">
        <v>5.142679046482886</v>
      </c>
      <c r="L158" s="9" t="n">
        <v>0.2517072799493614</v>
      </c>
      <c r="M158" s="9" t="n">
        <v>0.08283624741336069</v>
      </c>
      <c r="N158" s="9" t="n">
        <v>1.532804053776188</v>
      </c>
      <c r="O158" s="9" t="n">
        <v>7.987861118222986</v>
      </c>
      <c r="P158" s="9" t="n">
        <v>0.6494586987710486</v>
      </c>
      <c r="Q158" s="9" t="n">
        <v>0.1706991336201933</v>
      </c>
      <c r="R158" s="9" t="n">
        <v>-0.0892789260714375</v>
      </c>
      <c r="S158" s="9" t="n">
        <v>0.0887265182107022</v>
      </c>
      <c r="T158" s="9" t="n">
        <v>80118222679.36717</v>
      </c>
      <c r="U158" s="9" t="n">
        <v>0.0013717421124828</v>
      </c>
      <c r="V158" s="9" t="n">
        <v>2.521087033094786e-05</v>
      </c>
      <c r="W158" s="9" t="n">
        <v>-1.441153384245784</v>
      </c>
      <c r="X158" s="9" t="n">
        <v>2.834482277998891</v>
      </c>
      <c r="Y158" s="9" t="n">
        <v>22.5725610393341</v>
      </c>
      <c r="Z158" s="9" t="n">
        <v>38.6982532052202</v>
      </c>
      <c r="AA158" s="9" t="n">
        <v>14.98263246889927</v>
      </c>
      <c r="AB158" s="9" t="n">
        <v>35.94618625505181</v>
      </c>
      <c r="AC158" s="9" t="n">
        <v>-3.627426502084485</v>
      </c>
      <c r="AD158" s="9" t="n">
        <v>1788.327917824074</v>
      </c>
      <c r="AE158" s="9" t="n">
        <v>4354.202819444443</v>
      </c>
      <c r="AF158" s="9" t="n">
        <v>7998.551418981478</v>
      </c>
      <c r="AG158" s="9" t="n">
        <v>7998.551418981478</v>
      </c>
      <c r="AH158" s="8" t="inlineStr">
        <is>
          <t>Moderate (5.0-5.9)</t>
        </is>
      </c>
    </row>
    <row r="159">
      <c r="A159" s="8" t="inlineStr">
        <is>
          <t>1974-05-12 19:59:14.700</t>
        </is>
      </c>
      <c r="B159" s="8" t="n">
        <v>1974</v>
      </c>
      <c r="C159" s="9" t="n">
        <v>2.83</v>
      </c>
      <c r="D159" s="9" t="n">
        <v>126.81</v>
      </c>
      <c r="E159" s="8" t="n">
        <v>33</v>
      </c>
      <c r="F159" s="9" t="n">
        <v>5.1</v>
      </c>
      <c r="G159" s="9" t="n">
        <v>3</v>
      </c>
      <c r="H159" s="9" t="n">
        <v>5.2</v>
      </c>
      <c r="I159" s="9" t="n">
        <v>5.2</v>
      </c>
      <c r="J159" s="9" t="n">
        <v/>
      </c>
      <c r="K159" s="9" t="n">
        <v/>
      </c>
      <c r="L159" s="9" t="n">
        <v/>
      </c>
      <c r="M159" s="9" t="n">
        <v/>
      </c>
      <c r="N159" s="9" t="n">
        <v>8.685889638065067</v>
      </c>
      <c r="O159" s="9" t="n">
        <v>45.64374737265801</v>
      </c>
      <c r="P159" s="9" t="n">
        <v>0</v>
      </c>
      <c r="Q159" s="9" t="n">
        <v/>
      </c>
      <c r="R159" s="9" t="n">
        <v/>
      </c>
      <c r="S159" s="9" t="n">
        <v>-0.0549306144334051</v>
      </c>
      <c r="T159" s="9" t="n">
        <v>82901163793.41916</v>
      </c>
      <c r="U159" s="9" t="n">
        <v/>
      </c>
      <c r="V159" s="9" t="n">
        <v>8.75651076269468e-27</v>
      </c>
      <c r="W159" s="9" t="n">
        <v>-1.441153384245784</v>
      </c>
      <c r="X159" s="9" t="n">
        <v>4.607707969367495</v>
      </c>
      <c r="Y159" s="9" t="n">
        <v>266.208964633323</v>
      </c>
      <c r="Z159" s="9" t="n">
        <v>281.7986679374907</v>
      </c>
      <c r="AA159" s="9" t="n">
        <v>19.70045651813101</v>
      </c>
      <c r="AB159" s="9" t="n">
        <v>281.7986679374907</v>
      </c>
      <c r="AC159" s="9" t="n">
        <v>-9.313214156935354</v>
      </c>
      <c r="AD159" s="9" t="n">
        <v>420.3701388888876</v>
      </c>
      <c r="AE159" s="9" t="n">
        <v>4896.838694444443</v>
      </c>
      <c r="AF159" s="9" t="n">
        <v>8688.134244212963</v>
      </c>
      <c r="AG159" s="9" t="n">
        <v>43535.17270833333</v>
      </c>
      <c r="AH159" s="8" t="inlineStr">
        <is>
          <t>Moderate (5.0-5.9)</t>
        </is>
      </c>
    </row>
    <row r="160">
      <c r="A160" s="8" t="inlineStr">
        <is>
          <t>1974-05-12 20:03:41.300</t>
        </is>
      </c>
      <c r="B160" s="8" t="n">
        <v>1974</v>
      </c>
      <c r="C160" s="9" t="n">
        <v>2.91</v>
      </c>
      <c r="D160" s="9" t="n">
        <v>126.62</v>
      </c>
      <c r="E160" s="8" t="n">
        <v>33</v>
      </c>
      <c r="F160" s="9" t="n">
        <v>5</v>
      </c>
      <c r="G160" s="9" t="n">
        <v>4</v>
      </c>
      <c r="H160" s="9" t="n">
        <v>5.2</v>
      </c>
      <c r="I160" s="9" t="n">
        <v>5.175000000000001</v>
      </c>
      <c r="J160" s="9" t="n">
        <v/>
      </c>
      <c r="K160" s="9" t="n">
        <v/>
      </c>
      <c r="L160" s="9" t="n">
        <v/>
      </c>
      <c r="M160" s="9" t="n">
        <v/>
      </c>
      <c r="N160" s="9" t="n">
        <v>3.47435585522599</v>
      </c>
      <c r="O160" s="9" t="n">
        <v>18.32127485298051</v>
      </c>
      <c r="P160" s="9" t="n">
        <v>0.6940910450027329</v>
      </c>
      <c r="Q160" s="9" t="n">
        <v>0.2917330405218292</v>
      </c>
      <c r="R160" s="9" t="n">
        <v/>
      </c>
      <c r="S160" s="9" t="n">
        <v>-0.07328679513998709</v>
      </c>
      <c r="T160" s="9" t="n">
        <v>91576002351.8145</v>
      </c>
      <c r="U160" s="9" t="n">
        <v/>
      </c>
      <c r="V160" s="9" t="n">
        <v>3.775134544279756e-11</v>
      </c>
      <c r="W160" s="9" t="n">
        <v>-1.333333333333333</v>
      </c>
      <c r="X160" s="9" t="n">
        <v>5.954651581568434</v>
      </c>
      <c r="Y160" s="9" t="n">
        <v>266.208964633323</v>
      </c>
      <c r="Z160" s="9" t="n">
        <v>278.3029857391713</v>
      </c>
      <c r="AA160" s="9" t="n">
        <v>17.53903743486995</v>
      </c>
      <c r="AB160" s="9" t="n">
        <v>279.1289919284517</v>
      </c>
      <c r="AC160" s="9" t="n">
        <v>-9.29124982628448</v>
      </c>
      <c r="AD160" s="9" t="n">
        <v>420.3732245370375</v>
      </c>
      <c r="AE160" s="9" t="n">
        <v>4896.841780092593</v>
      </c>
      <c r="AF160" s="9" t="n">
        <v>43535.17270833333</v>
      </c>
      <c r="AG160" s="9" t="n">
        <v>43535.17270833333</v>
      </c>
      <c r="AH160" s="8" t="inlineStr">
        <is>
          <t>Moderate (5.0-5.9)</t>
        </is>
      </c>
    </row>
    <row r="161">
      <c r="A161" s="8" t="inlineStr">
        <is>
          <t>1974-05-12 20:17:23.600</t>
        </is>
      </c>
      <c r="B161" s="8" t="n">
        <v>1974</v>
      </c>
      <c r="C161" s="9" t="n">
        <v>2.77</v>
      </c>
      <c r="D161" s="9" t="n">
        <v>126.44</v>
      </c>
      <c r="E161" s="8" t="n">
        <v>33</v>
      </c>
      <c r="F161" s="9" t="n">
        <v>5.2</v>
      </c>
      <c r="G161" s="9" t="n">
        <v>5</v>
      </c>
      <c r="H161" s="9" t="n">
        <v>5.2</v>
      </c>
      <c r="I161" s="9" t="n">
        <v>5.140000000000001</v>
      </c>
      <c r="J161" s="9" t="n">
        <v/>
      </c>
      <c r="K161" s="9" t="n">
        <v/>
      </c>
      <c r="L161" s="9" t="n">
        <v/>
      </c>
      <c r="M161" s="9" t="n">
        <v/>
      </c>
      <c r="N161" s="9" t="n">
        <v/>
      </c>
      <c r="O161" s="9" t="n">
        <v/>
      </c>
      <c r="P161" s="9" t="n">
        <v/>
      </c>
      <c r="Q161" s="9" t="n">
        <v/>
      </c>
      <c r="R161" s="9" t="n">
        <v/>
      </c>
      <c r="S161" s="9" t="n">
        <v/>
      </c>
      <c r="T161" s="9" t="n">
        <v>96882218217.48051</v>
      </c>
      <c r="U161" s="9" t="n">
        <v/>
      </c>
      <c r="V161" s="9" t="n">
        <v/>
      </c>
      <c r="W161" s="9" t="n">
        <v>-1.263227881599779</v>
      </c>
      <c r="X161" s="9" t="n">
        <v>8.078943075289343</v>
      </c>
      <c r="Y161" s="9" t="n">
        <v>266.208964633323</v>
      </c>
      <c r="Z161" s="9" t="n">
        <v>276.7988125458552</v>
      </c>
      <c r="AA161" s="9" t="n">
        <v>15.55718678244175</v>
      </c>
      <c r="AB161" s="9" t="n">
        <v>278.135118428295</v>
      </c>
      <c r="AC161" s="9" t="n">
        <v>-9.037859700275922</v>
      </c>
      <c r="AD161" s="9" t="n">
        <v>420.3827418981455</v>
      </c>
      <c r="AE161" s="9" t="n">
        <v>4896.851297453701</v>
      </c>
      <c r="AF161" s="9" t="n">
        <v>43535.17270833333</v>
      </c>
      <c r="AG161" s="9" t="n">
        <v>43535.17270833333</v>
      </c>
      <c r="AH161" s="8" t="inlineStr">
        <is>
          <t>Moderate (5.0-5.9)</t>
        </is>
      </c>
    </row>
    <row r="162">
      <c r="A162" s="8" t="inlineStr">
        <is>
          <t>1974-05-13 20:02:29.900</t>
        </is>
      </c>
      <c r="B162" s="8" t="n">
        <v>1974</v>
      </c>
      <c r="C162" s="9" t="n">
        <v>2.71</v>
      </c>
      <c r="D162" s="9" t="n">
        <v>126.54</v>
      </c>
      <c r="E162" s="8" t="n">
        <v>33</v>
      </c>
      <c r="F162" s="9" t="n">
        <v>5.4</v>
      </c>
      <c r="G162" s="9" t="n">
        <v>6</v>
      </c>
      <c r="H162" s="9" t="n">
        <v>5.2</v>
      </c>
      <c r="I162" s="9" t="n">
        <v>5.15</v>
      </c>
      <c r="J162" s="9" t="n">
        <v/>
      </c>
      <c r="K162" s="9" t="n">
        <v/>
      </c>
      <c r="L162" s="9" t="n">
        <v/>
      </c>
      <c r="M162" s="9" t="n">
        <v/>
      </c>
      <c r="N162" s="9" t="n">
        <v/>
      </c>
      <c r="O162" s="9" t="n">
        <v/>
      </c>
      <c r="P162" s="9" t="n">
        <v/>
      </c>
      <c r="Q162" s="9" t="n">
        <v/>
      </c>
      <c r="R162" s="9" t="n">
        <v/>
      </c>
      <c r="S162" s="9" t="n">
        <v/>
      </c>
      <c r="T162" s="9" t="n">
        <v>108060315840.3087</v>
      </c>
      <c r="U162" s="9" t="n">
        <v/>
      </c>
      <c r="V162" s="9" t="n">
        <v/>
      </c>
      <c r="W162" s="9" t="n">
        <v>-1.866513050514766</v>
      </c>
      <c r="X162" s="9" t="n">
        <v>9.247754350163095</v>
      </c>
      <c r="Y162" s="9" t="n">
        <v>266.208964633323</v>
      </c>
      <c r="Z162" s="9" t="n">
        <v>279.2728325766555</v>
      </c>
      <c r="AA162" s="9" t="n">
        <v>15.17713738304529</v>
      </c>
      <c r="AB162" s="9" t="n">
        <v>280.7282206308412</v>
      </c>
      <c r="AC162" s="9" t="n">
        <v>-7.544011891070108</v>
      </c>
      <c r="AD162" s="9" t="n">
        <v>421.3723981481489</v>
      </c>
      <c r="AE162" s="9" t="n">
        <v>4897.840953703704</v>
      </c>
      <c r="AF162" s="9" t="n">
        <v>43535.17270833333</v>
      </c>
      <c r="AG162" s="9" t="n">
        <v>43535.17270833333</v>
      </c>
      <c r="AH162" s="8" t="inlineStr">
        <is>
          <t>Moderate (5.0-5.9)</t>
        </is>
      </c>
    </row>
    <row r="163">
      <c r="A163" s="8" t="inlineStr">
        <is>
          <t>1974-05-14 13:07:15.900</t>
        </is>
      </c>
      <c r="B163" s="8" t="n">
        <v>1974</v>
      </c>
      <c r="C163" s="9" t="n">
        <v>2.9</v>
      </c>
      <c r="D163" s="9" t="n">
        <v>126.67</v>
      </c>
      <c r="E163" s="8" t="n">
        <v>42</v>
      </c>
      <c r="F163" s="9" t="n">
        <v>5.2</v>
      </c>
      <c r="G163" s="9" t="n">
        <v>7</v>
      </c>
      <c r="H163" s="9" t="n">
        <v>5.4</v>
      </c>
      <c r="I163" s="9" t="n">
        <v>5.185714285714286</v>
      </c>
      <c r="J163" s="9" t="n">
        <v/>
      </c>
      <c r="K163" s="9" t="n">
        <v/>
      </c>
      <c r="L163" s="9" t="n">
        <v/>
      </c>
      <c r="M163" s="9" t="n">
        <v/>
      </c>
      <c r="N163" s="9" t="n">
        <v/>
      </c>
      <c r="O163" s="9" t="n">
        <v/>
      </c>
      <c r="P163" s="9" t="n">
        <v/>
      </c>
      <c r="Q163" s="9" t="n">
        <v/>
      </c>
      <c r="R163" s="9" t="n">
        <v/>
      </c>
      <c r="S163" s="9" t="n">
        <v/>
      </c>
      <c r="T163" s="9" t="n">
        <v>130096527478.6572</v>
      </c>
      <c r="U163" s="9" t="n">
        <v/>
      </c>
      <c r="V163" s="9" t="n">
        <v/>
      </c>
      <c r="W163" s="9" t="n">
        <v>-2.29128784747792</v>
      </c>
      <c r="X163" s="9" t="n">
        <v>9.38876537077036</v>
      </c>
      <c r="Y163" s="9" t="n">
        <v>266.208964633323</v>
      </c>
      <c r="Z163" s="9" t="n">
        <v>281.4165349148123</v>
      </c>
      <c r="AA163" s="9" t="n">
        <v>14.97073146583664</v>
      </c>
      <c r="AB163" s="9" t="n">
        <v>284.4810489031742</v>
      </c>
      <c r="AC163" s="9" t="n">
        <v>-4.62734056839984</v>
      </c>
      <c r="AD163" s="9" t="n">
        <v>422.0840416666688</v>
      </c>
      <c r="AE163" s="9" t="n">
        <v>4898.552597222224</v>
      </c>
      <c r="AF163" s="9" t="n">
        <v>43535.17270833333</v>
      </c>
      <c r="AG163" s="9" t="n">
        <v>43535.17270833333</v>
      </c>
      <c r="AH163" s="8" t="inlineStr">
        <is>
          <t>Moderate (5.0-5.9)</t>
        </is>
      </c>
    </row>
    <row r="164">
      <c r="A164" s="8" t="inlineStr">
        <is>
          <t>1975-01-23 03:57:11.100</t>
        </is>
      </c>
      <c r="B164" s="8" t="n">
        <v>1975</v>
      </c>
      <c r="C164" s="9" t="n">
        <v>2.3</v>
      </c>
      <c r="D164" s="9" t="n">
        <v>127.15</v>
      </c>
      <c r="E164" s="8" t="n">
        <v>115</v>
      </c>
      <c r="F164" s="9" t="n">
        <v>5.2</v>
      </c>
      <c r="G164" s="9" t="n">
        <v>3</v>
      </c>
      <c r="H164" s="9" t="n">
        <v>5.5</v>
      </c>
      <c r="I164" s="9" t="n">
        <v>5.333333333333333</v>
      </c>
      <c r="J164" s="9" t="n">
        <v>0.251558941508116</v>
      </c>
      <c r="K164" s="9" t="n">
        <v>1.651062981757537</v>
      </c>
      <c r="L164" s="9" t="n">
        <v>0.0242580620701954</v>
      </c>
      <c r="M164" s="9" t="n">
        <v>0.0543429423426683</v>
      </c>
      <c r="N164" s="9" t="n">
        <v>1.132942126704137</v>
      </c>
      <c r="O164" s="9" t="n">
        <v>6.141831888240346</v>
      </c>
      <c r="P164" s="9" t="n">
        <v>0.4920305139433418</v>
      </c>
      <c r="Q164" s="9" t="n">
        <v>0.229126107350039</v>
      </c>
      <c r="R164" s="9" t="n">
        <v>-1.063324570612686</v>
      </c>
      <c r="S164" s="9" t="n">
        <v>0.07886528934389141</v>
      </c>
      <c r="T164" s="9" t="n">
        <v>129948315473.8284</v>
      </c>
      <c r="U164" s="9" t="n">
        <v>0.1759232240375881</v>
      </c>
      <c r="V164" s="9" t="n">
        <v>0.0003991844542591</v>
      </c>
      <c r="W164" s="9" t="n">
        <v>0.4472135954999578</v>
      </c>
      <c r="X164" s="9" t="n">
        <v>3.259718258647996</v>
      </c>
      <c r="Y164" s="9" t="n">
        <v>311.2252613059909</v>
      </c>
      <c r="Z164" s="9" t="n">
        <v>321.1003667819313</v>
      </c>
      <c r="AA164" s="9" t="n">
        <v>10.21174240309594</v>
      </c>
      <c r="AB164" s="9" t="n">
        <v>317.1296185419841</v>
      </c>
      <c r="AC164" s="9" t="n">
        <v>-0.07083679667037709</v>
      </c>
      <c r="AD164" s="9" t="n">
        <v>675.7020416666637</v>
      </c>
      <c r="AE164" s="9" t="n">
        <v>8294.282153935183</v>
      </c>
      <c r="AF164" s="9" t="n">
        <v>8943.466146990739</v>
      </c>
      <c r="AG164" s="9" t="n">
        <v>43535.17270833333</v>
      </c>
      <c r="AH164" s="8" t="inlineStr">
        <is>
          <t>Moderate (5.0-5.9)</t>
        </is>
      </c>
    </row>
    <row r="165">
      <c r="A165" s="8" t="inlineStr">
        <is>
          <t>1975-01-23 03:57:14.000</t>
        </is>
      </c>
      <c r="B165" s="8" t="n">
        <v>1975</v>
      </c>
      <c r="C165" s="9" t="n">
        <v>2.2</v>
      </c>
      <c r="D165" s="9" t="n">
        <v>127.1</v>
      </c>
      <c r="E165" s="8" t="n">
        <v>141</v>
      </c>
      <c r="F165" s="9" t="n">
        <v>5</v>
      </c>
      <c r="G165" s="9" t="n">
        <v>4</v>
      </c>
      <c r="H165" s="9" t="n">
        <v>5.5</v>
      </c>
      <c r="I165" s="9" t="n">
        <v>5.3</v>
      </c>
      <c r="J165" s="9" t="n">
        <v>0.6312900041550367</v>
      </c>
      <c r="K165" s="9" t="n">
        <v>3.724171269773815</v>
      </c>
      <c r="L165" s="9" t="n">
        <v>0.1122616163872323</v>
      </c>
      <c r="M165" s="9" t="n">
        <v>0.0485358688533355</v>
      </c>
      <c r="N165" s="9" t="n">
        <v>1.240841376866435</v>
      </c>
      <c r="O165" s="9" t="n">
        <v>6.806266875660137</v>
      </c>
      <c r="P165" s="9" t="n">
        <v>0.4337165549213954</v>
      </c>
      <c r="Q165" s="9" t="n">
        <v>0.1791166923483763</v>
      </c>
      <c r="R165" s="9" t="n">
        <v>-0.3993034029716815</v>
      </c>
      <c r="S165" s="9" t="n">
        <v>0.0147969736080391</v>
      </c>
      <c r="T165" s="9" t="n">
        <v>138482606659.6574</v>
      </c>
      <c r="U165" s="9" t="n">
        <v>0.0127682091352207</v>
      </c>
      <c r="V165" s="9" t="n">
        <v>0.0001894418252328</v>
      </c>
      <c r="W165" s="9" t="n">
        <v>0</v>
      </c>
      <c r="X165" s="9" t="n">
        <v>4.604121834248581</v>
      </c>
      <c r="Y165" s="9" t="n">
        <v>308.248088433294</v>
      </c>
      <c r="Z165" s="9" t="n">
        <v>317.887297194772</v>
      </c>
      <c r="AA165" s="9" t="n">
        <v>10.52687291138754</v>
      </c>
      <c r="AB165" s="9" t="n">
        <v>315.8853500536589</v>
      </c>
      <c r="AC165" s="9" t="n">
        <v>-0.5192861563433167</v>
      </c>
      <c r="AD165" s="9" t="n">
        <v>675.702075231482</v>
      </c>
      <c r="AE165" s="9" t="n">
        <v>8294.282187500001</v>
      </c>
      <c r="AF165" s="9" t="n">
        <v>8943.466180555557</v>
      </c>
      <c r="AG165" s="9" t="n">
        <v>43535.17270833333</v>
      </c>
      <c r="AH165" s="8" t="inlineStr">
        <is>
          <t>Moderate (5.0-5.9)</t>
        </is>
      </c>
    </row>
    <row r="166">
      <c r="A166" s="8" t="inlineStr">
        <is>
          <t>1975-02-01 15:19:51.700</t>
        </is>
      </c>
      <c r="B166" s="8" t="n">
        <v>1975</v>
      </c>
      <c r="C166" s="9" t="n">
        <v>13.2</v>
      </c>
      <c r="D166" s="9" t="n">
        <v>120.4</v>
      </c>
      <c r="E166" s="8" t="n">
        <v>47</v>
      </c>
      <c r="F166" s="9" t="n">
        <v>5</v>
      </c>
      <c r="G166" s="9" t="n">
        <v>4</v>
      </c>
      <c r="H166" s="9" t="n">
        <v>5</v>
      </c>
      <c r="I166" s="9" t="n">
        <v>4.725</v>
      </c>
      <c r="J166" s="9" t="n">
        <v>1.40536713586242</v>
      </c>
      <c r="K166" s="9" t="n">
        <v>6.934877645474376</v>
      </c>
      <c r="L166" s="9" t="n">
        <v>0.4682436454863501</v>
      </c>
      <c r="M166" s="9" t="n">
        <v>0.1170052135056929</v>
      </c>
      <c r="N166" s="9" t="n">
        <v>1.579252661466373</v>
      </c>
      <c r="O166" s="9" t="n">
        <v>7.708696967926643</v>
      </c>
      <c r="P166" s="9" t="n">
        <v>0.5912832008970342</v>
      </c>
      <c r="Q166" s="9" t="n">
        <v>0.1342028195749854</v>
      </c>
      <c r="R166" s="9" t="n">
        <v>0.0654334596925734</v>
      </c>
      <c r="S166" s="9" t="n">
        <v>0.1187690506920304</v>
      </c>
      <c r="T166" s="9" t="n">
        <v>41263771541.20477</v>
      </c>
      <c r="U166" s="9" t="n">
        <v>6.079930185770382e-05</v>
      </c>
      <c r="V166" s="9" t="n">
        <v>1.82911922994072e-05</v>
      </c>
      <c r="W166" s="9" t="n">
        <v>-0.8660254037844386</v>
      </c>
      <c r="X166" s="9" t="n">
        <v>5.056402083373166</v>
      </c>
      <c r="Y166" s="9" t="n">
        <v>2.93850090469518</v>
      </c>
      <c r="Z166" s="9" t="n">
        <v>7.879315822561098</v>
      </c>
      <c r="AA166" s="9" t="n">
        <v>4.259194430636441</v>
      </c>
      <c r="AB166" s="9" t="n">
        <v>5.703520317596406</v>
      </c>
      <c r="AC166" s="9" t="n">
        <v>-0.7689305945100294</v>
      </c>
      <c r="AD166" s="9" t="n">
        <v>1011.826185185186</v>
      </c>
      <c r="AE166" s="9" t="n">
        <v>1011.826185185186</v>
      </c>
      <c r="AF166" s="9" t="n">
        <v>1011.826185185186</v>
      </c>
      <c r="AG166" s="9" t="n">
        <v>11986.98573726852</v>
      </c>
      <c r="AH166" s="8" t="inlineStr">
        <is>
          <t>Moderate (5.0-5.9)</t>
        </is>
      </c>
    </row>
    <row r="167">
      <c r="A167" s="8" t="inlineStr">
        <is>
          <t>1975-02-05 18:25:01.000</t>
        </is>
      </c>
      <c r="B167" s="8" t="n">
        <v>1975</v>
      </c>
      <c r="C167" s="9" t="n">
        <v>6</v>
      </c>
      <c r="D167" s="9" t="n">
        <v>126.3</v>
      </c>
      <c r="E167" s="8" t="n">
        <v>62</v>
      </c>
      <c r="F167" s="9" t="n">
        <v>5.1</v>
      </c>
      <c r="G167" s="9" t="n">
        <v>3</v>
      </c>
      <c r="H167" s="9" t="n">
        <v>5.2</v>
      </c>
      <c r="I167" s="9" t="n">
        <v>4.966666666666666</v>
      </c>
      <c r="J167" s="9" t="n">
        <v>1.255272505103306</v>
      </c>
      <c r="K167" s="9" t="n">
        <v>6.431992775593255</v>
      </c>
      <c r="L167" s="9" t="n">
        <v>0.4355663194183816</v>
      </c>
      <c r="M167" s="9" t="n">
        <v>0.0994848859037932</v>
      </c>
      <c r="N167" s="9" t="n">
        <v>2.004436070322708</v>
      </c>
      <c r="O167" s="9" t="n">
        <v>10.09841439226866</v>
      </c>
      <c r="P167" s="9" t="n">
        <v>1.110612804407298</v>
      </c>
      <c r="Q167" s="9" t="n">
        <v>0.1829808759357618</v>
      </c>
      <c r="R167" s="9" t="n">
        <v>0.07601875334318819</v>
      </c>
      <c r="S167" s="9" t="n">
        <v>0.1619673374552439</v>
      </c>
      <c r="T167" s="9" t="n">
        <v>58207189702.09383</v>
      </c>
      <c r="U167" s="9" t="n">
        <v>0.0001714677640603</v>
      </c>
      <c r="V167" s="9" t="n">
        <v>9.698214581497943e-07</v>
      </c>
      <c r="W167" s="9" t="n">
        <v>1.441153384245784</v>
      </c>
      <c r="X167" s="9" t="n">
        <v>3.612280987574101</v>
      </c>
      <c r="Y167" s="9" t="n">
        <v>45.9272194363716</v>
      </c>
      <c r="Z167" s="9" t="n">
        <v>54.41163914711103</v>
      </c>
      <c r="AA167" s="9" t="n">
        <v>12.04262335088016</v>
      </c>
      <c r="AB167" s="9" t="n">
        <v>60.49638204936939</v>
      </c>
      <c r="AC167" s="9" t="n">
        <v>3.64100178723376</v>
      </c>
      <c r="AD167" s="9" t="n">
        <v>795.7535763888882</v>
      </c>
      <c r="AE167" s="9" t="n">
        <v>1626.230305555557</v>
      </c>
      <c r="AF167" s="9" t="n">
        <v>1626.230305555557</v>
      </c>
      <c r="AG167" s="9" t="n">
        <v>1626.230305555557</v>
      </c>
      <c r="AH167" s="8" t="inlineStr">
        <is>
          <t>Moderate (5.0-5.9)</t>
        </is>
      </c>
    </row>
    <row r="168">
      <c r="A168" s="8" t="inlineStr">
        <is>
          <t>1975-02-18 15:10:42.000</t>
        </is>
      </c>
      <c r="B168" s="8" t="n">
        <v>1975</v>
      </c>
      <c r="C168" s="9" t="n">
        <v>5.5</v>
      </c>
      <c r="D168" s="9" t="n">
        <v>126.7</v>
      </c>
      <c r="E168" s="8" t="n">
        <v>72</v>
      </c>
      <c r="F168" s="9" t="n">
        <v>5</v>
      </c>
      <c r="G168" s="9" t="n">
        <v>3</v>
      </c>
      <c r="H168" s="9" t="n">
        <v>5.1</v>
      </c>
      <c r="I168" s="9" t="n">
        <v>5.066666666666666</v>
      </c>
      <c r="J168" s="9" t="n">
        <v/>
      </c>
      <c r="K168" s="9" t="n">
        <v/>
      </c>
      <c r="L168" s="9" t="n">
        <v/>
      </c>
      <c r="M168" s="9" t="n">
        <v/>
      </c>
      <c r="N168" s="9" t="n">
        <v>3.722524130599314</v>
      </c>
      <c r="O168" s="9" t="n">
        <v>19.08974190771623</v>
      </c>
      <c r="P168" s="9" t="n">
        <v>1.062384252555217</v>
      </c>
      <c r="Q168" s="9" t="n">
        <v>0.1961611540042475</v>
      </c>
      <c r="R168" s="9" t="n">
        <v/>
      </c>
      <c r="S168" s="9" t="n">
        <v>-0.0281714336779463</v>
      </c>
      <c r="T168" s="9" t="n">
        <v>63459613116.31538</v>
      </c>
      <c r="U168" s="9" t="n">
        <v/>
      </c>
      <c r="V168" s="9" t="n">
        <v>6.79872708748768e-12</v>
      </c>
      <c r="W168" s="9" t="n">
        <v>0.4472135954999578</v>
      </c>
      <c r="X168" s="9" t="n">
        <v>3.259718258647996</v>
      </c>
      <c r="Y168" s="9" t="n">
        <v>22.080727790601</v>
      </c>
      <c r="Z168" s="9" t="n">
        <v>42.86534971959284</v>
      </c>
      <c r="AA168" s="9" t="n">
        <v>18.00558559495064</v>
      </c>
      <c r="AB168" s="9" t="n">
        <v>45.10698856234554</v>
      </c>
      <c r="AC168" s="9" t="n">
        <v>1.159452875211829</v>
      </c>
      <c r="AD168" s="9" t="n">
        <v>4288.99898148148</v>
      </c>
      <c r="AE168" s="9" t="n">
        <v>6356.284456018519</v>
      </c>
      <c r="AF168" s="9" t="n">
        <v>6356.284456018519</v>
      </c>
      <c r="AG168" s="9" t="n">
        <v>6356.284456018519</v>
      </c>
      <c r="AH168" s="8" t="inlineStr">
        <is>
          <t>Moderate (5.0-5.9)</t>
        </is>
      </c>
    </row>
    <row r="169">
      <c r="A169" s="8" t="inlineStr">
        <is>
          <t>1975-04-16 18:45:02.300</t>
        </is>
      </c>
      <c r="B169" s="8" t="n">
        <v>1975</v>
      </c>
      <c r="C169" s="9" t="n">
        <v>11.8</v>
      </c>
      <c r="D169" s="9" t="n">
        <v>125.7</v>
      </c>
      <c r="E169" s="8" t="n">
        <v>37</v>
      </c>
      <c r="F169" s="9" t="n">
        <v>5.2</v>
      </c>
      <c r="G169" s="9" t="n">
        <v>3</v>
      </c>
      <c r="H169" s="9" t="n">
        <v>5.7</v>
      </c>
      <c r="I169" s="9" t="n">
        <v>5.5</v>
      </c>
      <c r="J169" s="9" t="n">
        <v>1.431363764158986</v>
      </c>
      <c r="K169" s="9" t="n">
        <v>8.063349204762286</v>
      </c>
      <c r="L169" s="9" t="n">
        <v>0.4712245118298972</v>
      </c>
      <c r="M169" s="9" t="n">
        <v>0.1508789884991496</v>
      </c>
      <c r="N169" s="9" t="n">
        <v>2.895296546021689</v>
      </c>
      <c r="O169" s="9" t="n">
        <v>16.11172260323678</v>
      </c>
      <c r="P169" s="9" t="n">
        <v>1.928030680563177</v>
      </c>
      <c r="Q169" s="9" t="n">
        <v>0.2574418656994659</v>
      </c>
      <c r="R169" s="9" t="n">
        <v>0.0666666666666673</v>
      </c>
      <c r="S169" s="9" t="n">
        <v>0.1352081566997842</v>
      </c>
      <c r="T169" s="9" t="n">
        <v>169390548116.1659</v>
      </c>
      <c r="U169" s="9" t="n">
        <v>5.080526342529141e-05</v>
      </c>
      <c r="V169" s="9" t="n">
        <v>2.061153622438413e-09</v>
      </c>
      <c r="W169" s="9" t="n">
        <v>1</v>
      </c>
      <c r="X169" s="9" t="n">
        <v>4.607707969367495</v>
      </c>
      <c r="Y169" s="9" t="n">
        <v>42.0120401495945</v>
      </c>
      <c r="Z169" s="9" t="n">
        <v>42.11229655445277</v>
      </c>
      <c r="AA169" s="9" t="n">
        <v>0.0868245934993564</v>
      </c>
      <c r="AB169" s="9" t="n">
        <v>42.07446134335709</v>
      </c>
      <c r="AC169" s="9" t="n">
        <v>3447.183484902877</v>
      </c>
      <c r="AD169" s="9" t="n">
        <v>652.4874699074062</v>
      </c>
      <c r="AE169" s="9" t="n">
        <v>652.4874699074062</v>
      </c>
      <c r="AF169" s="9" t="n">
        <v>43535.17270833333</v>
      </c>
      <c r="AG169" s="9" t="n">
        <v>43535.17270833333</v>
      </c>
      <c r="AH169" s="8" t="inlineStr">
        <is>
          <t>Moderate (5.0-5.9)</t>
        </is>
      </c>
    </row>
    <row r="170">
      <c r="A170" s="8" t="inlineStr">
        <is>
          <t>1975-04-16 18:45:05.200</t>
        </is>
      </c>
      <c r="B170" s="8" t="n">
        <v>1975</v>
      </c>
      <c r="C170" s="9" t="n">
        <v>11.6</v>
      </c>
      <c r="D170" s="9" t="n">
        <v>125.5</v>
      </c>
      <c r="E170" s="8" t="n">
        <v>59</v>
      </c>
      <c r="F170" s="9" t="n">
        <v>5.2</v>
      </c>
      <c r="G170" s="9" t="n">
        <v>4</v>
      </c>
      <c r="H170" s="9" t="n">
        <v>5.7</v>
      </c>
      <c r="I170" s="9" t="n">
        <v>5.425</v>
      </c>
      <c r="J170" s="9" t="n">
        <v>1.405367135862417</v>
      </c>
      <c r="K170" s="9" t="n">
        <v>7.918634640578055</v>
      </c>
      <c r="L170" s="9" t="n">
        <v>0.4682436454863487</v>
      </c>
      <c r="M170" s="9" t="n">
        <v>0.1170052135056929</v>
      </c>
      <c r="N170" s="9" t="n">
        <v>1.579252661466373</v>
      </c>
      <c r="O170" s="9" t="n">
        <v>8.814173830953104</v>
      </c>
      <c r="P170" s="9" t="n">
        <v>0.5912832008970342</v>
      </c>
      <c r="Q170" s="9" t="n">
        <v>0.1342028195749856</v>
      </c>
      <c r="R170" s="9" t="n">
        <v>0.06543345969257509</v>
      </c>
      <c r="S170" s="9" t="n">
        <v>0.1187690506920304</v>
      </c>
      <c r="T170" s="9" t="n">
        <v>176022798079.8595</v>
      </c>
      <c r="U170" s="9" t="n">
        <v>6.079930185770469e-05</v>
      </c>
      <c r="V170" s="9" t="n">
        <v>1.82911922994072e-05</v>
      </c>
      <c r="W170" s="9" t="n">
        <v>0.6324555320336758</v>
      </c>
      <c r="X170" s="9" t="n">
        <v>5.617321208040141</v>
      </c>
      <c r="Y170" s="9" t="n">
        <v>42.0120401495945</v>
      </c>
      <c r="Z170" s="9" t="n">
        <v>45.51731181336238</v>
      </c>
      <c r="AA170" s="9" t="n">
        <v>6.810399498339772</v>
      </c>
      <c r="AB170" s="9" t="n">
        <v>43.36125012983572</v>
      </c>
      <c r="AC170" s="9" t="n">
        <v>1.903849332839565</v>
      </c>
      <c r="AD170" s="9" t="n">
        <v>652.4875034722209</v>
      </c>
      <c r="AE170" s="9" t="n">
        <v>652.4875034722209</v>
      </c>
      <c r="AF170" s="9" t="n">
        <v>43535.17270833333</v>
      </c>
      <c r="AG170" s="9" t="n">
        <v>43535.17270833333</v>
      </c>
      <c r="AH170" s="8" t="inlineStr">
        <is>
          <t>Moderate (5.0-5.9)</t>
        </is>
      </c>
    </row>
    <row r="171">
      <c r="A171" s="8" t="inlineStr">
        <is>
          <t>1975-04-21 23:03:29.000</t>
        </is>
      </c>
      <c r="B171" s="8" t="n">
        <v>1975</v>
      </c>
      <c r="C171" s="9" t="n">
        <v>6.2</v>
      </c>
      <c r="D171" s="9" t="n">
        <v>126.7</v>
      </c>
      <c r="E171" s="8" t="n">
        <v>96</v>
      </c>
      <c r="F171" s="9" t="n">
        <v>5</v>
      </c>
      <c r="G171" s="9" t="n">
        <v>3</v>
      </c>
      <c r="H171" s="9" t="n">
        <v>4.6</v>
      </c>
      <c r="I171" s="9" t="n">
        <v>4.566666666666666</v>
      </c>
      <c r="J171" s="9" t="n">
        <v/>
      </c>
      <c r="K171" s="9" t="n">
        <v/>
      </c>
      <c r="L171" s="9" t="n">
        <v/>
      </c>
      <c r="M171" s="9" t="n">
        <v/>
      </c>
      <c r="N171" s="9" t="n">
        <v>3.722524130599314</v>
      </c>
      <c r="O171" s="9" t="n">
        <v>17.22847984241658</v>
      </c>
      <c r="P171" s="9" t="n">
        <v>1.062384252555217</v>
      </c>
      <c r="Q171" s="9" t="n">
        <v>0.1961611540042511</v>
      </c>
      <c r="R171" s="9" t="n">
        <v/>
      </c>
      <c r="S171" s="9" t="n">
        <v>-0.0281714336779455</v>
      </c>
      <c r="T171" s="9" t="n">
        <v>22516320409.25135</v>
      </c>
      <c r="U171" s="9" t="n">
        <v/>
      </c>
      <c r="V171" s="9" t="n">
        <v>6.79872708748768e-12</v>
      </c>
      <c r="W171" s="9" t="n">
        <v>-1</v>
      </c>
      <c r="X171" s="9" t="n">
        <v>2.493476575328339</v>
      </c>
      <c r="Y171" s="9" t="n">
        <v>34.2456791429417</v>
      </c>
      <c r="Z171" s="9" t="n">
        <v>55.7481862426068</v>
      </c>
      <c r="AA171" s="9" t="n">
        <v>29.30699731838802</v>
      </c>
      <c r="AB171" s="9" t="n">
        <v>52.1479548078586</v>
      </c>
      <c r="AC171" s="9" t="n">
        <v>607.3710974879727</v>
      </c>
      <c r="AD171" s="9" t="n">
        <v>773.5394826388874</v>
      </c>
      <c r="AE171" s="9" t="n">
        <v>7148.169525462959</v>
      </c>
      <c r="AF171" s="9" t="n">
        <v>8999.665196759257</v>
      </c>
      <c r="AG171" s="9" t="n">
        <v>18634.27811342592</v>
      </c>
      <c r="AH171" s="8" t="inlineStr">
        <is>
          <t>Moderate (5.0-5.9)</t>
        </is>
      </c>
    </row>
    <row r="172">
      <c r="A172" s="8" t="inlineStr">
        <is>
          <t>1975-04-21 23:03:30.300</t>
        </is>
      </c>
      <c r="B172" s="8" t="n">
        <v>1975</v>
      </c>
      <c r="C172" s="9" t="n">
        <v>6.1</v>
      </c>
      <c r="D172" s="9" t="n">
        <v>126.7</v>
      </c>
      <c r="E172" s="8" t="n">
        <v>108</v>
      </c>
      <c r="F172" s="9" t="n">
        <v>5</v>
      </c>
      <c r="G172" s="9" t="n">
        <v>4</v>
      </c>
      <c r="H172" s="9" t="n">
        <v>5</v>
      </c>
      <c r="I172" s="9" t="n">
        <v>4.675</v>
      </c>
      <c r="J172" s="9" t="n">
        <v>1.269046777371088</v>
      </c>
      <c r="K172" s="9" t="n">
        <v>6.207835733520606</v>
      </c>
      <c r="L172" s="9" t="n">
        <v>0.4106657505950315</v>
      </c>
      <c r="M172" s="9" t="n">
        <v>0.1511169169929812</v>
      </c>
      <c r="N172" s="9" t="n">
        <v>1.930197697347789</v>
      </c>
      <c r="O172" s="9" t="n">
        <v>9.287949629393012</v>
      </c>
      <c r="P172" s="9" t="n">
        <v>0.9500288841317892</v>
      </c>
      <c r="Q172" s="9" t="n">
        <v>0.2061710921375738</v>
      </c>
      <c r="R172" s="9" t="n">
        <v>0.1082687855048663</v>
      </c>
      <c r="S172" s="9" t="n">
        <v>0.188083768748025</v>
      </c>
      <c r="T172" s="9" t="n">
        <v>38819900628.05509</v>
      </c>
      <c r="U172" s="9" t="n">
        <v>0.0001559048651287</v>
      </c>
      <c r="V172" s="9" t="n">
        <v>1.619596792312576e-06</v>
      </c>
      <c r="W172" s="9" t="n">
        <v>-1.333333333333333</v>
      </c>
      <c r="X172" s="9" t="n">
        <v>3.503672969288697</v>
      </c>
      <c r="Y172" s="9" t="n">
        <v>34.2456791429417</v>
      </c>
      <c r="Z172" s="9" t="n">
        <v>51.49286106034462</v>
      </c>
      <c r="AA172" s="9" t="n">
        <v>25.39746504753011</v>
      </c>
      <c r="AB172" s="9" t="n">
        <v>44.16019886222269</v>
      </c>
      <c r="AC172" s="9" t="n">
        <v>-2.959217745302303</v>
      </c>
      <c r="AD172" s="9" t="n">
        <v>773.5394976851894</v>
      </c>
      <c r="AE172" s="9" t="n">
        <v>7148.169540509261</v>
      </c>
      <c r="AF172" s="9" t="n">
        <v>8999.665211805559</v>
      </c>
      <c r="AG172" s="9" t="n">
        <v>18634.27812847222</v>
      </c>
      <c r="AH172" s="8" t="inlineStr">
        <is>
          <t>Moderate (5.0-5.9)</t>
        </is>
      </c>
    </row>
    <row r="173">
      <c r="A173" s="8" t="inlineStr">
        <is>
          <t>1975-04-23 08:27:47.400</t>
        </is>
      </c>
      <c r="B173" s="8" t="n">
        <v>1975</v>
      </c>
      <c r="C173" s="9" t="n">
        <v>6.4</v>
      </c>
      <c r="D173" s="9" t="n">
        <v>123.7</v>
      </c>
      <c r="E173" s="8" t="n">
        <v>597</v>
      </c>
      <c r="F173" s="9" t="n">
        <v>5.1</v>
      </c>
      <c r="G173" s="9" t="n">
        <v>3</v>
      </c>
      <c r="H173" s="9" t="n">
        <v>5.1</v>
      </c>
      <c r="I173" s="9" t="n">
        <v>4.933333333333333</v>
      </c>
      <c r="J173" s="9" t="n">
        <v>1.73239375982296</v>
      </c>
      <c r="K173" s="9" t="n">
        <v>8.769886923719561</v>
      </c>
      <c r="L173" s="9" t="n">
        <v>0.6087638047840723</v>
      </c>
      <c r="M173" s="9" t="n">
        <v>0.0748876957464447</v>
      </c>
      <c r="N173" s="9" t="n">
        <v>2.368878992199564</v>
      </c>
      <c r="O173" s="9" t="n">
        <v>11.84774041727757</v>
      </c>
      <c r="P173" s="9" t="n">
        <v>1.138259685318719</v>
      </c>
      <c r="Q173" s="9" t="n">
        <v>0.1690897490863261</v>
      </c>
      <c r="R173" s="9" t="n">
        <v>0.037705776188095</v>
      </c>
      <c r="S173" s="9" t="n">
        <v>0.0985877470775138</v>
      </c>
      <c r="T173" s="9" t="n">
        <v>51095699708.33138</v>
      </c>
      <c r="U173" s="9" t="n">
        <v>6.35065792816171e-06</v>
      </c>
      <c r="V173" s="9" t="n">
        <v>7.822814343739539e-08</v>
      </c>
      <c r="W173" s="9" t="n">
        <v>-1.441153384245784</v>
      </c>
      <c r="X173" s="9" t="n">
        <v>6.539149811747721</v>
      </c>
      <c r="Y173" s="9" t="n">
        <v>5.82809673167496</v>
      </c>
      <c r="Z173" s="9" t="n">
        <v>24.20174810838339</v>
      </c>
      <c r="AA173" s="9" t="n">
        <v>16.10007279489549</v>
      </c>
      <c r="AB173" s="9" t="n">
        <v>18.73266964123657</v>
      </c>
      <c r="AC173" s="9" t="n">
        <v>-4.214428916010517</v>
      </c>
      <c r="AD173" s="9" t="n">
        <v>8696.139865740741</v>
      </c>
      <c r="AE173" s="9" t="n">
        <v>16758.71654398148</v>
      </c>
      <c r="AF173" s="9" t="n">
        <v>16758.71654398148</v>
      </c>
      <c r="AG173" s="9" t="n">
        <v>43535.17270833333</v>
      </c>
      <c r="AH173" s="8" t="inlineStr">
        <is>
          <t>Moderate (5.0-5.9)</t>
        </is>
      </c>
    </row>
    <row r="174">
      <c r="A174" s="8" t="inlineStr">
        <is>
          <t>1975-04-23 08:29:59.000</t>
        </is>
      </c>
      <c r="B174" s="8" t="n">
        <v>1975</v>
      </c>
      <c r="C174" s="9" t="n">
        <v>6.4</v>
      </c>
      <c r="D174" s="9" t="n">
        <v>123.6</v>
      </c>
      <c r="E174" s="8" t="n">
        <v>622</v>
      </c>
      <c r="F174" s="9" t="n">
        <v>5.1</v>
      </c>
      <c r="G174" s="9" t="n">
        <v>4</v>
      </c>
      <c r="H174" s="9" t="n">
        <v>5.1</v>
      </c>
      <c r="I174" s="9" t="n">
        <v>4.975</v>
      </c>
      <c r="J174" s="9" t="n">
        <v>1.07918124604762</v>
      </c>
      <c r="K174" s="9" t="n">
        <v>5.762257477279612</v>
      </c>
      <c r="L174" s="9" t="n">
        <v>0.2008990479141039</v>
      </c>
      <c r="M174" s="9" t="n">
        <v>0.0464916078015166</v>
      </c>
      <c r="N174" s="9" t="n">
        <v>1.930197697347789</v>
      </c>
      <c r="O174" s="9" t="n">
        <v>9.867008938597349</v>
      </c>
      <c r="P174" s="9" t="n">
        <v>0.6426768935210562</v>
      </c>
      <c r="Q174" s="9" t="n">
        <v>0.1777769531644844</v>
      </c>
      <c r="R174" s="9" t="n">
        <v>-0.2394714728255635</v>
      </c>
      <c r="S174" s="9" t="n">
        <v>-0.0119162312519751</v>
      </c>
      <c r="T174" s="9" t="n">
        <v>64220960574.56758</v>
      </c>
      <c r="U174" s="9" t="n">
        <v>0.0005787037037037</v>
      </c>
      <c r="V174" s="9" t="n">
        <v>1.619596792312576e-06</v>
      </c>
      <c r="W174" s="9" t="n">
        <v>-1.549193338482967</v>
      </c>
      <c r="X174" s="9" t="n">
        <v>8.01355519627422</v>
      </c>
      <c r="Y174" s="9" t="n">
        <v>5.82809673167496</v>
      </c>
      <c r="Z174" s="9" t="n">
        <v>21.87736401506052</v>
      </c>
      <c r="AA174" s="9" t="n">
        <v>13.94343124869648</v>
      </c>
      <c r="AB174" s="9" t="n">
        <v>17.39217346784649</v>
      </c>
      <c r="AC174" s="9" t="n">
        <v>-3.520486924341411</v>
      </c>
      <c r="AD174" s="9" t="n">
        <v>19044.65355324074</v>
      </c>
      <c r="AE174" s="9" t="n">
        <v>19044.65355324074</v>
      </c>
      <c r="AF174" s="9" t="n">
        <v>19044.65355324074</v>
      </c>
      <c r="AG174" s="9" t="n">
        <v>43535.17270833333</v>
      </c>
      <c r="AH174" s="8" t="inlineStr">
        <is>
          <t>Moderate (5.0-5.9)</t>
        </is>
      </c>
    </row>
    <row r="175">
      <c r="A175" s="8" t="inlineStr">
        <is>
          <t>1975-04-28 12:25:14.600</t>
        </is>
      </c>
      <c r="B175" s="8" t="n">
        <v>1975</v>
      </c>
      <c r="C175" s="9" t="n">
        <v>9.5</v>
      </c>
      <c r="D175" s="9" t="n">
        <v>126.8</v>
      </c>
      <c r="E175" s="8" t="n">
        <v>33</v>
      </c>
      <c r="F175" s="9" t="n">
        <v>5</v>
      </c>
      <c r="G175" s="9" t="n">
        <v>3</v>
      </c>
      <c r="H175" s="9" t="n">
        <v>5</v>
      </c>
      <c r="I175" s="9" t="n">
        <v>4.833333333333333</v>
      </c>
      <c r="J175" s="9" t="n">
        <v>1.73239375982296</v>
      </c>
      <c r="K175" s="9" t="n">
        <v>8.596647547737268</v>
      </c>
      <c r="L175" s="9" t="n">
        <v>0.6087638047840725</v>
      </c>
      <c r="M175" s="9" t="n">
        <v>0.0748876957464446</v>
      </c>
      <c r="N175" s="9" t="n">
        <v>2.368878992199564</v>
      </c>
      <c r="O175" s="9" t="n">
        <v>11.61085251805761</v>
      </c>
      <c r="P175" s="9" t="n">
        <v>1.13825968531872</v>
      </c>
      <c r="Q175" s="9" t="n">
        <v>0.1393430971708118</v>
      </c>
      <c r="R175" s="9" t="n">
        <v>0.0377057761880923</v>
      </c>
      <c r="S175" s="9" t="n">
        <v>0.0985877470775129</v>
      </c>
      <c r="T175" s="9" t="n">
        <v>41532143967.68882</v>
      </c>
      <c r="U175" s="9" t="n">
        <v>6.350657928161723e-06</v>
      </c>
      <c r="V175" s="9" t="n">
        <v>7.822814343739539e-08</v>
      </c>
      <c r="W175" s="9" t="n">
        <v>-1</v>
      </c>
      <c r="X175" s="9" t="n">
        <v>3.259718258647996</v>
      </c>
      <c r="Y175" s="9" t="n">
        <v>49.7075201062163</v>
      </c>
      <c r="Z175" s="9" t="n">
        <v>56.2855740371402</v>
      </c>
      <c r="AA175" s="9" t="n">
        <v>7.920152304102765</v>
      </c>
      <c r="AB175" s="9" t="n">
        <v>53.82434475257125</v>
      </c>
      <c r="AC175" s="9" t="n">
        <v>5.605060100426499</v>
      </c>
      <c r="AD175" s="9" t="n">
        <v>8440.061199074073</v>
      </c>
      <c r="AE175" s="9" t="n">
        <v>8440.061199074073</v>
      </c>
      <c r="AF175" s="9" t="n">
        <v>8440.061199074073</v>
      </c>
      <c r="AG175" s="9" t="n">
        <v>8440.061199074073</v>
      </c>
      <c r="AH175" s="8" t="inlineStr">
        <is>
          <t>Moderate (5.0-5.9)</t>
        </is>
      </c>
    </row>
    <row r="176">
      <c r="A176" s="8" t="inlineStr">
        <is>
          <t>1975-04-28 14:27:57.700</t>
        </is>
      </c>
      <c r="B176" s="8" t="n">
        <v>1975</v>
      </c>
      <c r="C176" s="9" t="n">
        <v>9.300000000000001</v>
      </c>
      <c r="D176" s="9" t="n">
        <v>126.6</v>
      </c>
      <c r="E176" s="8" t="n">
        <v>33</v>
      </c>
      <c r="F176" s="9" t="n">
        <v>5.1</v>
      </c>
      <c r="G176" s="9" t="n">
        <v>4</v>
      </c>
      <c r="H176" s="9" t="n">
        <v>5</v>
      </c>
      <c r="I176" s="9" t="n">
        <v>4.875</v>
      </c>
      <c r="J176" s="9" t="n">
        <v>1.07918124604762</v>
      </c>
      <c r="K176" s="9" t="n">
        <v>5.654339352674852</v>
      </c>
      <c r="L176" s="9" t="n">
        <v>0.200899047914104</v>
      </c>
      <c r="M176" s="9" t="n">
        <v>0.0464916078015165</v>
      </c>
      <c r="N176" s="9" t="n">
        <v>1.930197697347789</v>
      </c>
      <c r="O176" s="9" t="n">
        <v>9.673989168862571</v>
      </c>
      <c r="P176" s="9" t="n">
        <v>0.6426768935210568</v>
      </c>
      <c r="Q176" s="9" t="n">
        <v>0.1723967795496993</v>
      </c>
      <c r="R176" s="9" t="n">
        <v>-0.2394714728255662</v>
      </c>
      <c r="S176" s="9" t="n">
        <v>-0.0119162312519751</v>
      </c>
      <c r="T176" s="9" t="n">
        <v>52200756532.38005</v>
      </c>
      <c r="U176" s="9" t="n">
        <v>0.0005787037037037</v>
      </c>
      <c r="V176" s="9" t="n">
        <v>1.619596792312576e-06</v>
      </c>
      <c r="W176" s="9" t="n">
        <v>-0.9999999999999998</v>
      </c>
      <c r="X176" s="9" t="n">
        <v>4.407993072862402</v>
      </c>
      <c r="Y176" s="9" t="n">
        <v>32.6746334355019</v>
      </c>
      <c r="Z176" s="9" t="n">
        <v>50.38283888673062</v>
      </c>
      <c r="AA176" s="9" t="n">
        <v>13.46062173045185</v>
      </c>
      <c r="AB176" s="9" t="n">
        <v>46.41898526217879</v>
      </c>
      <c r="AC176" s="9" t="n">
        <v>-10.05144711509559</v>
      </c>
      <c r="AD176" s="9" t="n">
        <v>4795.797820601849</v>
      </c>
      <c r="AE176" s="9" t="n">
        <v>4795.797820601849</v>
      </c>
      <c r="AF176" s="9" t="n">
        <v>8440.146420138884</v>
      </c>
      <c r="AG176" s="9" t="n">
        <v>8440.146420138884</v>
      </c>
      <c r="AH176" s="8" t="inlineStr">
        <is>
          <t>Moderate (5.0-5.9)</t>
        </is>
      </c>
    </row>
    <row r="177">
      <c r="A177" s="8" t="inlineStr">
        <is>
          <t>1975-04-28 14:27:59.200</t>
        </is>
      </c>
      <c r="B177" s="8" t="n">
        <v>1975</v>
      </c>
      <c r="C177" s="9" t="n">
        <v>9.4</v>
      </c>
      <c r="D177" s="9" t="n">
        <v>126.6</v>
      </c>
      <c r="E177" s="8" t="n">
        <v>44</v>
      </c>
      <c r="F177" s="9" t="n">
        <v>5.2</v>
      </c>
      <c r="G177" s="9" t="n">
        <v>5</v>
      </c>
      <c r="H177" s="9" t="n">
        <v>5.1</v>
      </c>
      <c r="I177" s="9" t="n">
        <v>4.92</v>
      </c>
      <c r="J177" s="9" t="n">
        <v/>
      </c>
      <c r="K177" s="9" t="n">
        <v/>
      </c>
      <c r="L177" s="9" t="n">
        <v/>
      </c>
      <c r="M177" s="9" t="n">
        <v/>
      </c>
      <c r="N177" s="9" t="n">
        <v/>
      </c>
      <c r="O177" s="9" t="n">
        <v/>
      </c>
      <c r="P177" s="9" t="n">
        <v/>
      </c>
      <c r="Q177" s="9" t="n">
        <v/>
      </c>
      <c r="R177" s="9" t="n">
        <v/>
      </c>
      <c r="S177" s="9" t="n">
        <v/>
      </c>
      <c r="T177" s="9" t="n">
        <v>65103611504.96208</v>
      </c>
      <c r="U177" s="9" t="n">
        <v/>
      </c>
      <c r="V177" s="9" t="n">
        <v/>
      </c>
      <c r="W177" s="9" t="n">
        <v>-1</v>
      </c>
      <c r="X177" s="9" t="n">
        <v>5.490790707171333</v>
      </c>
      <c r="Y177" s="9" t="n">
        <v>32.6746334355019</v>
      </c>
      <c r="Z177" s="9" t="n">
        <v>49.21814674630097</v>
      </c>
      <c r="AA177" s="9" t="n">
        <v>11.94461351143801</v>
      </c>
      <c r="AB177" s="9" t="n">
        <v>45.803607183716</v>
      </c>
      <c r="AC177" s="9" t="n">
        <v>-12.09330598415737</v>
      </c>
      <c r="AD177" s="9" t="n">
        <v>6650.001576388888</v>
      </c>
      <c r="AE177" s="9" t="n">
        <v>6650.001576388888</v>
      </c>
      <c r="AF177" s="9" t="n">
        <v>8440.146437499996</v>
      </c>
      <c r="AG177" s="9" t="n">
        <v>8440.146437499996</v>
      </c>
      <c r="AH177" s="8" t="inlineStr">
        <is>
          <t>Moderate (5.0-5.9)</t>
        </is>
      </c>
    </row>
    <row r="178">
      <c r="A178" s="8" t="inlineStr">
        <is>
          <t>1975-04-28 17:44:34.200</t>
        </is>
      </c>
      <c r="B178" s="8" t="n">
        <v>1975</v>
      </c>
      <c r="C178" s="9" t="n">
        <v>9.5</v>
      </c>
      <c r="D178" s="9" t="n">
        <v>126.6</v>
      </c>
      <c r="E178" s="8" t="n">
        <v>61</v>
      </c>
      <c r="F178" s="9" t="n">
        <v>5.1</v>
      </c>
      <c r="G178" s="9" t="n">
        <v>6</v>
      </c>
      <c r="H178" s="9" t="n">
        <v>5.2</v>
      </c>
      <c r="I178" s="9" t="n">
        <v>4.966666666666667</v>
      </c>
      <c r="J178" s="9" t="n">
        <v/>
      </c>
      <c r="K178" s="9" t="n">
        <v/>
      </c>
      <c r="L178" s="9" t="n">
        <v/>
      </c>
      <c r="M178" s="9" t="n">
        <v/>
      </c>
      <c r="N178" s="9" t="n">
        <v/>
      </c>
      <c r="O178" s="9" t="n">
        <v/>
      </c>
      <c r="P178" s="9" t="n">
        <v/>
      </c>
      <c r="Q178" s="9" t="n">
        <v/>
      </c>
      <c r="R178" s="9" t="n">
        <v/>
      </c>
      <c r="S178" s="9" t="n">
        <v/>
      </c>
      <c r="T178" s="9" t="n">
        <v>80804380350.05763</v>
      </c>
      <c r="U178" s="9" t="n">
        <v/>
      </c>
      <c r="V178" s="9" t="n">
        <v/>
      </c>
      <c r="W178" s="9" t="n">
        <v>-1</v>
      </c>
      <c r="X178" s="9" t="n">
        <v>6.516283101734105</v>
      </c>
      <c r="Y178" s="9" t="n">
        <v>32.6746334355019</v>
      </c>
      <c r="Z178" s="9" t="n">
        <v>49.11496321929226</v>
      </c>
      <c r="AA178" s="9" t="n">
        <v>10.68657637373063</v>
      </c>
      <c r="AB178" s="9" t="n">
        <v>46.69406225328999</v>
      </c>
      <c r="AC178" s="9" t="n">
        <v>-11.20705999435228</v>
      </c>
      <c r="AD178" s="9" t="n">
        <v>6650.138092592591</v>
      </c>
      <c r="AE178" s="9" t="n">
        <v>6650.138092592591</v>
      </c>
      <c r="AF178" s="9" t="n">
        <v>8440.2829537037</v>
      </c>
      <c r="AG178" s="9" t="n">
        <v>8440.2829537037</v>
      </c>
      <c r="AH178" s="8" t="inlineStr">
        <is>
          <t>Moderate (5.0-5.9)</t>
        </is>
      </c>
    </row>
    <row r="179">
      <c r="A179" s="8" t="inlineStr">
        <is>
          <t>1975-04-29 08:49:25.800</t>
        </is>
      </c>
      <c r="B179" s="8" t="n">
        <v>1975</v>
      </c>
      <c r="C179" s="9" t="n">
        <v>13.7</v>
      </c>
      <c r="D179" s="9" t="n">
        <v>120.8</v>
      </c>
      <c r="E179" s="8" t="n">
        <v>50</v>
      </c>
      <c r="F179" s="9" t="n">
        <v>5</v>
      </c>
      <c r="G179" s="9" t="n">
        <v>3</v>
      </c>
      <c r="H179" s="9" t="n">
        <v>5.6</v>
      </c>
      <c r="I179" s="9" t="n">
        <v>5.333333333333333</v>
      </c>
      <c r="J179" s="9" t="n">
        <v>0.9542425094393288</v>
      </c>
      <c r="K179" s="9" t="n">
        <v>5.248333801916308</v>
      </c>
      <c r="L179" s="9" t="n">
        <v>0.2792441551584604</v>
      </c>
      <c r="M179" s="9" t="n">
        <v>0.1508789884991495</v>
      </c>
      <c r="N179" s="9" t="n">
        <v>2.368878992199564</v>
      </c>
      <c r="O179" s="9" t="n">
        <v>12.7952920141574</v>
      </c>
      <c r="P179" s="9" t="n">
        <v>1.720886888436554</v>
      </c>
      <c r="Q179" s="9" t="n">
        <v>0.2887776119489595</v>
      </c>
      <c r="R179" s="9" t="n">
        <v>0.1000000000000005</v>
      </c>
      <c r="S179" s="9" t="n">
        <v>0.1985877470775134</v>
      </c>
      <c r="T179" s="9" t="n">
        <v>128857982491.2281</v>
      </c>
      <c r="U179" s="9" t="n">
        <v>0.0013717421124828</v>
      </c>
      <c r="V179" s="9" t="n">
        <v>7.822814343739539e-08</v>
      </c>
      <c r="W179" s="9" t="n">
        <v>-1</v>
      </c>
      <c r="X179" s="9" t="n">
        <v>3.259718258647996</v>
      </c>
      <c r="Y179" s="9" t="n">
        <v>4.04758083876724</v>
      </c>
      <c r="Z179" s="9" t="n">
        <v>16.50880003277404</v>
      </c>
      <c r="AA179" s="9" t="n">
        <v>14.96004036900225</v>
      </c>
      <c r="AB179" s="9" t="n">
        <v>14.45035705549497</v>
      </c>
      <c r="AC179" s="9" t="n">
        <v>93688.62136791636</v>
      </c>
      <c r="AD179" s="9" t="n">
        <v>1098.555052083335</v>
      </c>
      <c r="AE179" s="9" t="n">
        <v>1098.555052083335</v>
      </c>
      <c r="AF179" s="9" t="n">
        <v>1098.555052083335</v>
      </c>
      <c r="AG179" s="9" t="n">
        <v>12073.71460416667</v>
      </c>
      <c r="AH179" s="8" t="inlineStr">
        <is>
          <t>Moderate (5.0-5.9)</t>
        </is>
      </c>
    </row>
    <row r="180">
      <c r="A180" s="8" t="inlineStr">
        <is>
          <t>1975-04-30 11:32:06.800</t>
        </is>
      </c>
      <c r="B180" s="8" t="n">
        <v>1975</v>
      </c>
      <c r="C180" s="9" t="n">
        <v>9.199999999999999</v>
      </c>
      <c r="D180" s="9" t="n">
        <v>126.3</v>
      </c>
      <c r="E180" s="8" t="n">
        <v>77</v>
      </c>
      <c r="F180" s="9" t="n">
        <v>5.1</v>
      </c>
      <c r="G180" s="9" t="n">
        <v>13</v>
      </c>
      <c r="H180" s="9" t="n">
        <v>5.2</v>
      </c>
      <c r="I180" s="9" t="n">
        <v>4.93076923076923</v>
      </c>
      <c r="J180" s="9" t="n">
        <v/>
      </c>
      <c r="K180" s="9" t="n">
        <v/>
      </c>
      <c r="L180" s="9" t="n">
        <v/>
      </c>
      <c r="M180" s="9" t="n">
        <v/>
      </c>
      <c r="N180" s="9" t="n">
        <v>5.21153378283904</v>
      </c>
      <c r="O180" s="9" t="n">
        <v>27.05594354719877</v>
      </c>
      <c r="P180" s="9" t="n">
        <v>2.587704001266451</v>
      </c>
      <c r="Q180" s="9" t="n">
        <v>0.8313610043200316</v>
      </c>
      <c r="R180" s="9" t="n">
        <v/>
      </c>
      <c r="S180" s="9" t="n">
        <v>0.008448975944324</v>
      </c>
      <c r="T180" s="9" t="n">
        <v>107864635180.1351</v>
      </c>
      <c r="U180" s="9" t="n">
        <v/>
      </c>
      <c r="V180" s="9" t="n">
        <v>2.319522830243285e-16</v>
      </c>
      <c r="W180" s="9" t="n">
        <v>-1.471960144387975</v>
      </c>
      <c r="X180" s="9" t="n">
        <v>12.25657150158824</v>
      </c>
      <c r="Y180" s="9" t="n">
        <v>32.6746334355019</v>
      </c>
      <c r="Z180" s="9" t="n">
        <v>48.44308100676729</v>
      </c>
      <c r="AA180" s="9" t="n">
        <v>9.343067588968591</v>
      </c>
      <c r="AB180" s="9" t="n">
        <v>47.31468450615671</v>
      </c>
      <c r="AC180" s="9" t="n">
        <v>2.436811445769919</v>
      </c>
      <c r="AD180" s="9" t="n">
        <v>4797.675703703706</v>
      </c>
      <c r="AE180" s="9" t="n">
        <v>4797.675703703706</v>
      </c>
      <c r="AF180" s="9" t="n">
        <v>8442.024303240742</v>
      </c>
      <c r="AG180" s="9" t="n">
        <v>8442.024303240742</v>
      </c>
      <c r="AH180" s="8" t="inlineStr">
        <is>
          <t>Moderate (5.0-5.9)</t>
        </is>
      </c>
    </row>
    <row r="181">
      <c r="A181" s="8" t="inlineStr">
        <is>
          <t>1975-05-01 12:37:01.600</t>
        </is>
      </c>
      <c r="B181" s="8" t="n">
        <v>1975</v>
      </c>
      <c r="C181" s="9" t="n">
        <v>13.6</v>
      </c>
      <c r="D181" s="9" t="n">
        <v>120.8</v>
      </c>
      <c r="E181" s="8" t="n">
        <v>54</v>
      </c>
      <c r="F181" s="9" t="n">
        <v>5</v>
      </c>
      <c r="G181" s="9" t="n">
        <v>5</v>
      </c>
      <c r="H181" s="9" t="n">
        <v>5.6</v>
      </c>
      <c r="I181" s="9" t="n">
        <v>5.18</v>
      </c>
      <c r="J181" s="9" t="n">
        <v>-0</v>
      </c>
      <c r="K181" s="9" t="n">
        <v>0</v>
      </c>
      <c r="L181" s="9" t="n">
        <v>0</v>
      </c>
      <c r="M181" s="9" t="n">
        <v>0</v>
      </c>
      <c r="N181" s="9" t="n">
        <v/>
      </c>
      <c r="O181" s="9" t="n">
        <v/>
      </c>
      <c r="P181" s="9" t="n">
        <v/>
      </c>
      <c r="Q181" s="9" t="n">
        <v/>
      </c>
      <c r="R181" s="9" t="n">
        <v/>
      </c>
      <c r="S181" s="9" t="n">
        <v/>
      </c>
      <c r="T181" s="9" t="n">
        <v>135148337391.6131</v>
      </c>
      <c r="U181" s="9" t="n">
        <v>1</v>
      </c>
      <c r="V181" s="9" t="n">
        <v/>
      </c>
      <c r="W181" s="9" t="n">
        <v>-1</v>
      </c>
      <c r="X181" s="9" t="n">
        <v>5.490790707171333</v>
      </c>
      <c r="Y181" s="9" t="n">
        <v>4.04758083876724</v>
      </c>
      <c r="Z181" s="9" t="n">
        <v>15.71981638350543</v>
      </c>
      <c r="AA181" s="9" t="n">
        <v>10.74225203846231</v>
      </c>
      <c r="AB181" s="9" t="n">
        <v>14.41493269966451</v>
      </c>
      <c r="AC181" s="9" t="n">
        <v>-370.417532386949</v>
      </c>
      <c r="AD181" s="9" t="n">
        <v>1100.713105324074</v>
      </c>
      <c r="AE181" s="9" t="n">
        <v>1100.713105324074</v>
      </c>
      <c r="AF181" s="9" t="n">
        <v>1100.713105324074</v>
      </c>
      <c r="AG181" s="9" t="n">
        <v>12075.87265740741</v>
      </c>
      <c r="AH181" s="8" t="inlineStr">
        <is>
          <t>Moderate (5.0-5.9)</t>
        </is>
      </c>
    </row>
    <row r="182">
      <c r="A182" s="8" t="inlineStr">
        <is>
          <t>1975-05-01 21:09:40.500</t>
        </is>
      </c>
      <c r="B182" s="8" t="n">
        <v>1975</v>
      </c>
      <c r="C182" s="9" t="n">
        <v>13.6</v>
      </c>
      <c r="D182" s="9" t="n">
        <v>120.7</v>
      </c>
      <c r="E182" s="8" t="n">
        <v>48</v>
      </c>
      <c r="F182" s="9" t="n">
        <v>5.1</v>
      </c>
      <c r="G182" s="9" t="n">
        <v>6</v>
      </c>
      <c r="H182" s="9" t="n">
        <v>5.6</v>
      </c>
      <c r="I182" s="9" t="n">
        <v>5.15</v>
      </c>
      <c r="J182" s="9" t="n">
        <v>0.9542425094393288</v>
      </c>
      <c r="K182" s="9" t="n">
        <v>5.248333801916308</v>
      </c>
      <c r="L182" s="9" t="n">
        <v>0.2146050832193046</v>
      </c>
      <c r="M182" s="9" t="n">
        <v>0.1508789884991495</v>
      </c>
      <c r="N182" s="9" t="n">
        <v>2.368878992199564</v>
      </c>
      <c r="O182" s="9" t="n">
        <v>12.7952920141574</v>
      </c>
      <c r="P182" s="9" t="n">
        <v>1.322538241469608</v>
      </c>
      <c r="Q182" s="9" t="n">
        <v>0.2978381442491452</v>
      </c>
      <c r="R182" s="9" t="n">
        <v>0.1000000000000005</v>
      </c>
      <c r="S182" s="9" t="n">
        <v>0.1985877470775134</v>
      </c>
      <c r="T182" s="9" t="n">
        <v>138798678306.8098</v>
      </c>
      <c r="U182" s="9" t="n">
        <v>0.0013717421124828</v>
      </c>
      <c r="V182" s="9" t="n">
        <v>7.822814343739539e-08</v>
      </c>
      <c r="W182" s="9" t="n">
        <v>-1.216327281119075</v>
      </c>
      <c r="X182" s="9" t="n">
        <v>6.516283101734105</v>
      </c>
      <c r="Y182" s="9" t="n">
        <v>4.04758083876724</v>
      </c>
      <c r="Z182" s="9" t="n">
        <v>13.77444379271573</v>
      </c>
      <c r="AA182" s="9" t="n">
        <v>10.72490700138016</v>
      </c>
      <c r="AB182" s="9" t="n">
        <v>13.70686502295082</v>
      </c>
      <c r="AC182" s="9" t="n">
        <v>-5.40394916901423</v>
      </c>
      <c r="AD182" s="9" t="n">
        <v>1101.069111111112</v>
      </c>
      <c r="AE182" s="9" t="n">
        <v>1101.069111111112</v>
      </c>
      <c r="AF182" s="9" t="n">
        <v>1101.069111111112</v>
      </c>
      <c r="AG182" s="9" t="n">
        <v>12076.22866319444</v>
      </c>
      <c r="AH182" s="8" t="inlineStr">
        <is>
          <t>Moderate (5.0-5.9)</t>
        </is>
      </c>
    </row>
    <row r="183">
      <c r="A183" s="8" t="inlineStr">
        <is>
          <t>1975-05-02 21:09:40.100</t>
        </is>
      </c>
      <c r="B183" s="8" t="n">
        <v>1975</v>
      </c>
      <c r="C183" s="9" t="n">
        <v>13.6</v>
      </c>
      <c r="D183" s="9" t="n">
        <v>120.7</v>
      </c>
      <c r="E183" s="8" t="n">
        <v>34</v>
      </c>
      <c r="F183" s="9" t="n">
        <v>5</v>
      </c>
      <c r="G183" s="9" t="n">
        <v>7</v>
      </c>
      <c r="H183" s="9" t="n">
        <v>5.6</v>
      </c>
      <c r="I183" s="9" t="n">
        <v>5.142857142857143</v>
      </c>
      <c r="J183" s="9" t="n">
        <v>0.9542425094393288</v>
      </c>
      <c r="K183" s="9" t="n">
        <v>5.248333801916308</v>
      </c>
      <c r="L183" s="9" t="n">
        <v>0.1819902732645714</v>
      </c>
      <c r="M183" s="9" t="n">
        <v>0.1508789884991495</v>
      </c>
      <c r="N183" s="9" t="n">
        <v>2.368878992199564</v>
      </c>
      <c r="O183" s="9" t="n">
        <v>12.7952920141574</v>
      </c>
      <c r="P183" s="9" t="n">
        <v>1.121544244699647</v>
      </c>
      <c r="Q183" s="9" t="n">
        <v>0.2654855616048163</v>
      </c>
      <c r="R183" s="9" t="n">
        <v>0.1000000000000005</v>
      </c>
      <c r="S183" s="9" t="n">
        <v>0.1985877470775134</v>
      </c>
      <c r="T183" s="9" t="n">
        <v>144147959916.7242</v>
      </c>
      <c r="U183" s="9" t="n">
        <v>0.0013717421124828</v>
      </c>
      <c r="V183" s="9" t="n">
        <v>7.822814343739539e-08</v>
      </c>
      <c r="W183" s="9" t="n">
        <v>-1.449137674618943</v>
      </c>
      <c r="X183" s="9" t="n">
        <v>7.491200415868958</v>
      </c>
      <c r="Y183" s="9" t="n">
        <v>4.04758083876724</v>
      </c>
      <c r="Z183" s="9" t="n">
        <v>13.483782920403</v>
      </c>
      <c r="AA183" s="9" t="n">
        <v>9.820611557114596</v>
      </c>
      <c r="AB183" s="9" t="n">
        <v>13.53379426356145</v>
      </c>
      <c r="AC183" s="9" t="n">
        <v>-3.14653485383337</v>
      </c>
      <c r="AD183" s="9" t="n">
        <v>1102.069106481482</v>
      </c>
      <c r="AE183" s="9" t="n">
        <v>1102.069106481482</v>
      </c>
      <c r="AF183" s="9" t="n">
        <v>1102.069106481482</v>
      </c>
      <c r="AG183" s="9" t="n">
        <v>12077.22865856481</v>
      </c>
      <c r="AH183" s="8" t="inlineStr">
        <is>
          <t>Moderate (5.0-5.9)</t>
        </is>
      </c>
    </row>
    <row r="184">
      <c r="A184" s="8" t="inlineStr">
        <is>
          <t>1975-05-02 23:55:42.000</t>
        </is>
      </c>
      <c r="B184" s="8" t="n">
        <v>1975</v>
      </c>
      <c r="C184" s="9" t="n">
        <v>9.199999999999999</v>
      </c>
      <c r="D184" s="9" t="n">
        <v>125.4</v>
      </c>
      <c r="E184" s="8" t="n">
        <v>33</v>
      </c>
      <c r="F184" s="9" t="n">
        <v>5</v>
      </c>
      <c r="G184" s="9" t="n">
        <v>3</v>
      </c>
      <c r="H184" s="9" t="n">
        <v>5.1</v>
      </c>
      <c r="I184" s="9" t="n">
        <v>5</v>
      </c>
      <c r="J184" s="9" t="n">
        <v>2.385606273598338</v>
      </c>
      <c r="K184" s="9" t="n">
        <v>12.18741511811958</v>
      </c>
      <c r="L184" s="9" t="n">
        <v>0.7557266632048526</v>
      </c>
      <c r="M184" s="9" t="n">
        <v>0.0360667066065068</v>
      </c>
      <c r="N184" s="9" t="n">
        <v>2.895296546021689</v>
      </c>
      <c r="O184" s="9" t="n">
        <v>14.66407433022594</v>
      </c>
      <c r="P184" s="9" t="n">
        <v>1.113149032429004</v>
      </c>
      <c r="Q184" s="9" t="n">
        <v>0.1078416351329146</v>
      </c>
      <c r="R184" s="9" t="n">
        <v>-0.0087286502380976</v>
      </c>
      <c r="S184" s="9" t="n">
        <v>0.0352081566997837</v>
      </c>
      <c r="T184" s="9" t="n">
        <v>56340524460.14158</v>
      </c>
      <c r="U184" s="9" t="n">
        <v>6.969171937624367e-08</v>
      </c>
      <c r="V184" s="9" t="n">
        <v>2.061153622438413e-09</v>
      </c>
      <c r="W184" s="9" t="n">
        <v>-2.121320343559642</v>
      </c>
      <c r="X184" s="9" t="n">
        <v>4.047396061842092</v>
      </c>
      <c r="Y184" s="9" t="n">
        <v>49.7075201062163</v>
      </c>
      <c r="Z184" s="9" t="n">
        <v>57.62356187533234</v>
      </c>
      <c r="AA184" s="9" t="n">
        <v>13.71098653894639</v>
      </c>
      <c r="AB184" s="9" t="n">
        <v>60.45749537421775</v>
      </c>
      <c r="AC184" s="9" t="n">
        <v>9.363619874385067</v>
      </c>
      <c r="AD184" s="9" t="n">
        <v>16659.20924768518</v>
      </c>
      <c r="AE184" s="9" t="n">
        <v>23305.82506944444</v>
      </c>
      <c r="AF184" s="9" t="n">
        <v>23305.82506944444</v>
      </c>
      <c r="AG184" s="9" t="n">
        <v>23305.82506944444</v>
      </c>
      <c r="AH184" s="8" t="inlineStr">
        <is>
          <t>Moderate (5.0-5.9)</t>
        </is>
      </c>
    </row>
    <row r="185">
      <c r="A185" s="8" t="inlineStr">
        <is>
          <t>1975-05-05 21:55:10.000</t>
        </is>
      </c>
      <c r="B185" s="8" t="n">
        <v>1975</v>
      </c>
      <c r="C185" s="9" t="n">
        <v>13</v>
      </c>
      <c r="D185" s="9" t="n">
        <v>120.3</v>
      </c>
      <c r="E185" s="8" t="n">
        <v>49</v>
      </c>
      <c r="F185" s="9" t="n">
        <v>5</v>
      </c>
      <c r="G185" s="9" t="n">
        <v>9</v>
      </c>
      <c r="H185" s="9" t="n">
        <v>5.6</v>
      </c>
      <c r="I185" s="9" t="n">
        <v>5.111111111111111</v>
      </c>
      <c r="J185" s="9" t="n">
        <v>0.9542425094393288</v>
      </c>
      <c r="K185" s="9" t="n">
        <v>5.248333801916308</v>
      </c>
      <c r="L185" s="9" t="n">
        <v>0.1457883014750201</v>
      </c>
      <c r="M185" s="9" t="n">
        <v>0.1508789884991495</v>
      </c>
      <c r="N185" s="9" t="n">
        <v>2.368878992199564</v>
      </c>
      <c r="O185" s="9" t="n">
        <v>12.7952920141574</v>
      </c>
      <c r="P185" s="9" t="n">
        <v>0.8984437878509214</v>
      </c>
      <c r="Q185" s="9" t="n">
        <v>0.2399197008201055</v>
      </c>
      <c r="R185" s="9" t="n">
        <v>0.1000000000000005</v>
      </c>
      <c r="S185" s="9" t="n">
        <v>0.1985877470775134</v>
      </c>
      <c r="T185" s="9" t="n">
        <v>150925923380.1584</v>
      </c>
      <c r="U185" s="9" t="n">
        <v>0.0013717421124828</v>
      </c>
      <c r="V185" s="9" t="n">
        <v>7.822814343739539e-08</v>
      </c>
      <c r="W185" s="9" t="n">
        <v>-2.464751508773248</v>
      </c>
      <c r="X185" s="9" t="n">
        <v>9.880268263655912</v>
      </c>
      <c r="Y185" s="9" t="n">
        <v>4.04758083876724</v>
      </c>
      <c r="Z185" s="9" t="n">
        <v>11.84806204995078</v>
      </c>
      <c r="AA185" s="9" t="n">
        <v>8.765993899007263</v>
      </c>
      <c r="AB185" s="9" t="n">
        <v>12.79299150521036</v>
      </c>
      <c r="AC185" s="9" t="n">
        <v>-1.22580713041956</v>
      </c>
      <c r="AD185" s="9" t="n">
        <v>1105.100702546297</v>
      </c>
      <c r="AE185" s="9" t="n">
        <v>1105.100702546297</v>
      </c>
      <c r="AF185" s="9" t="n">
        <v>1105.100702546297</v>
      </c>
      <c r="AG185" s="9" t="n">
        <v>12080.26025462963</v>
      </c>
      <c r="AH185" s="8" t="inlineStr">
        <is>
          <t>Moderate (5.0-5.9)</t>
        </is>
      </c>
    </row>
    <row r="186">
      <c r="A186" s="8" t="inlineStr">
        <is>
          <t>1975-06-03 19:10:23.000</t>
        </is>
      </c>
      <c r="B186" s="8" t="n">
        <v>1975</v>
      </c>
      <c r="C186" s="9" t="n">
        <v>10.3</v>
      </c>
      <c r="D186" s="9" t="n">
        <v>126.4</v>
      </c>
      <c r="E186" s="8" t="n">
        <v>44</v>
      </c>
      <c r="F186" s="9" t="n">
        <v>5.3</v>
      </c>
      <c r="G186" s="9" t="n">
        <v>3</v>
      </c>
      <c r="H186" s="9" t="n">
        <v>5.7</v>
      </c>
      <c r="I186" s="9" t="n">
        <v>5.600000000000001</v>
      </c>
      <c r="J186" s="9" t="n">
        <v>0.5282737771670425</v>
      </c>
      <c r="K186" s="9" t="n">
        <v>3.276972273704988</v>
      </c>
      <c r="L186" s="9" t="n">
        <v>0.0641868322377367</v>
      </c>
      <c r="M186" s="9" t="n">
        <v>0.0556849454662704</v>
      </c>
      <c r="N186" s="9" t="n">
        <v>1.737177927613007</v>
      </c>
      <c r="O186" s="9" t="n">
        <v>9.857882063829903</v>
      </c>
      <c r="P186" s="9" t="n">
        <v>0.6940910450027388</v>
      </c>
      <c r="Q186" s="9" t="n">
        <v>0.2224352922244453</v>
      </c>
      <c r="R186" s="9" t="n">
        <v>-0.5031704304504867</v>
      </c>
      <c r="S186" s="9" t="n">
        <v>0.0253469278329721</v>
      </c>
      <c r="T186" s="9" t="n">
        <v>204063940407.6508</v>
      </c>
      <c r="U186" s="9" t="n">
        <v>0.0260122948737491</v>
      </c>
      <c r="V186" s="9" t="n">
        <v>6.144212353328218e-06</v>
      </c>
      <c r="W186" s="9" t="n">
        <v>-1</v>
      </c>
      <c r="X186" s="9" t="n">
        <v>2.713064720295049</v>
      </c>
      <c r="Y186" s="9" t="n">
        <v>30.415538177022</v>
      </c>
      <c r="Z186" s="9" t="n">
        <v>41.91836356530703</v>
      </c>
      <c r="AA186" s="9" t="n">
        <v>12.36012662338818</v>
      </c>
      <c r="AB186" s="9" t="n">
        <v>45.06998014793615</v>
      </c>
      <c r="AC186" s="9" t="n">
        <v>32.38238417399501</v>
      </c>
      <c r="AD186" s="9" t="n">
        <v>2845.15433449074</v>
      </c>
      <c r="AE186" s="9" t="n">
        <v>6686.197685185187</v>
      </c>
      <c r="AF186" s="9" t="n">
        <v>8476.342546296295</v>
      </c>
      <c r="AG186" s="9" t="n">
        <v>8476.342546296295</v>
      </c>
      <c r="AH186" s="8" t="inlineStr">
        <is>
          <t>Moderate (5.0-5.9)</t>
        </is>
      </c>
    </row>
    <row r="187">
      <c r="A187" s="8" t="inlineStr">
        <is>
          <t>1975-06-05 13:27:50.000</t>
        </is>
      </c>
      <c r="B187" s="8" t="n">
        <v>1975</v>
      </c>
      <c r="C187" s="9" t="n">
        <v>10.5</v>
      </c>
      <c r="D187" s="9" t="n">
        <v>126.5</v>
      </c>
      <c r="E187" s="8" t="n">
        <v>32</v>
      </c>
      <c r="F187" s="9" t="n">
        <v>5</v>
      </c>
      <c r="G187" s="9" t="n">
        <v>4</v>
      </c>
      <c r="H187" s="9" t="n">
        <v>5.7</v>
      </c>
      <c r="I187" s="9" t="n">
        <v>5.525</v>
      </c>
      <c r="J187" s="9" t="n">
        <v>0.7781512503836442</v>
      </c>
      <c r="K187" s="9" t="n">
        <v>4.676286123717955</v>
      </c>
      <c r="L187" s="9" t="n">
        <v>0.1435556680880092</v>
      </c>
      <c r="M187" s="9" t="n">
        <v>0.0623424306088072</v>
      </c>
      <c r="N187" s="9" t="n">
        <v>1.579252661466368</v>
      </c>
      <c r="O187" s="9" t="n">
        <v>8.972099097099713</v>
      </c>
      <c r="P187" s="9" t="n">
        <v>0.5912832008970307</v>
      </c>
      <c r="Q187" s="9" t="n">
        <v>0.1818970133474124</v>
      </c>
      <c r="R187" s="9" t="n">
        <v>-0.3094822457876303</v>
      </c>
      <c r="S187" s="9" t="n">
        <v>0.0187690506920299</v>
      </c>
      <c r="T187" s="9" t="n">
        <v>212389878005.5742</v>
      </c>
      <c r="U187" s="9" t="n">
        <v>0.0046296296296296</v>
      </c>
      <c r="V187" s="9" t="n">
        <v>1.829119229940784e-05</v>
      </c>
      <c r="W187" s="9" t="n">
        <v>-1.333333333333333</v>
      </c>
      <c r="X187" s="9" t="n">
        <v>4.604121834248581</v>
      </c>
      <c r="Y187" s="9" t="n">
        <v>30.415538177022</v>
      </c>
      <c r="Z187" s="9" t="n">
        <v>40.86835116767297</v>
      </c>
      <c r="AA187" s="9" t="n">
        <v>10.30818077571727</v>
      </c>
      <c r="AB187" s="9" t="n">
        <v>44.36136402715497</v>
      </c>
      <c r="AC187" s="9" t="n">
        <v>24.0657679441052</v>
      </c>
      <c r="AD187" s="9" t="n">
        <v>2846.916452546295</v>
      </c>
      <c r="AE187" s="9" t="n">
        <v>6687.959803240741</v>
      </c>
      <c r="AF187" s="9" t="n">
        <v>43535.17270833333</v>
      </c>
      <c r="AG187" s="9" t="n">
        <v>43535.17270833333</v>
      </c>
      <c r="AH187" s="8" t="inlineStr">
        <is>
          <t>Moderate (5.0-5.9)</t>
        </is>
      </c>
    </row>
    <row r="188">
      <c r="A188" s="8" t="inlineStr">
        <is>
          <t>1975-07-13 09:31:38.700</t>
        </is>
      </c>
      <c r="B188" s="8" t="n">
        <v>1975</v>
      </c>
      <c r="C188" s="9" t="n">
        <v>6.2</v>
      </c>
      <c r="D188" s="9" t="n">
        <v>127.1</v>
      </c>
      <c r="E188" s="8" t="n">
        <v>37</v>
      </c>
      <c r="F188" s="9" t="n">
        <v>5</v>
      </c>
      <c r="G188" s="9" t="n">
        <v>3</v>
      </c>
      <c r="H188" s="9" t="n">
        <v>6.2</v>
      </c>
      <c r="I188" s="9" t="n">
        <v>5.100000000000001</v>
      </c>
      <c r="J188" s="9" t="n">
        <v>0.1303045538203713</v>
      </c>
      <c r="K188" s="9" t="n">
        <v>0.7403599879603002</v>
      </c>
      <c r="L188" s="9" t="n">
        <v>0.0215083498401255</v>
      </c>
      <c r="M188" s="9" t="n">
        <v>0.1091030784176597</v>
      </c>
      <c r="N188" s="9" t="n">
        <v>0.6681453567742331</v>
      </c>
      <c r="O188" s="9" t="n">
        <v>3.483775360203712</v>
      </c>
      <c r="P188" s="9" t="n">
        <v>0.5654963604426205</v>
      </c>
      <c r="Q188" s="9" t="n">
        <v>0.336701334364872</v>
      </c>
      <c r="R188" s="9" t="n">
        <v>0.5182339660906399</v>
      </c>
      <c r="S188" s="9" t="n">
        <v>0.9859020123657284</v>
      </c>
      <c r="T188" s="9" t="n">
        <v>380605327981.0571</v>
      </c>
      <c r="U188" s="9" t="n">
        <v>0.4065241388761877</v>
      </c>
      <c r="V188" s="9" t="n">
        <v>0.009898375607203899</v>
      </c>
      <c r="W188" s="9" t="n">
        <v>-1</v>
      </c>
      <c r="X188" s="9" t="n">
        <v>2.834482277998891</v>
      </c>
      <c r="Y188" s="9" t="n">
        <v>10.6758316848436</v>
      </c>
      <c r="Z188" s="9" t="n">
        <v>19.76444990347217</v>
      </c>
      <c r="AA188" s="9" t="n">
        <v>12.55188328176331</v>
      </c>
      <c r="AB188" s="9" t="n">
        <v>10.77919342478223</v>
      </c>
      <c r="AC188" s="9" t="n">
        <v>-45.10460089553378</v>
      </c>
      <c r="AD188" s="9" t="n">
        <v>2.626651620368648</v>
      </c>
      <c r="AE188" s="9" t="n">
        <v>6501.049001157408</v>
      </c>
      <c r="AF188" s="9" t="n">
        <v>6501.049001157408</v>
      </c>
      <c r="AG188" s="9" t="n">
        <v>6501.049001157408</v>
      </c>
      <c r="AH188" s="8" t="inlineStr">
        <is>
          <t>Moderate (5.0-5.9)</t>
        </is>
      </c>
    </row>
    <row r="189">
      <c r="A189" s="8" t="inlineStr">
        <is>
          <t>1975-07-13 12:54:38.800</t>
        </is>
      </c>
      <c r="B189" s="8" t="n">
        <v>1975</v>
      </c>
      <c r="C189" s="9" t="n">
        <v>6.2</v>
      </c>
      <c r="D189" s="9" t="n">
        <v>127.1</v>
      </c>
      <c r="E189" s="8" t="n">
        <v>63</v>
      </c>
      <c r="F189" s="9" t="n">
        <v>5</v>
      </c>
      <c r="G189" s="9" t="n">
        <v>4</v>
      </c>
      <c r="H189" s="9" t="n">
        <v>6.2</v>
      </c>
      <c r="I189" s="9" t="n">
        <v>5.075</v>
      </c>
      <c r="J189" s="9" t="n">
        <v>0.303746527347054</v>
      </c>
      <c r="K189" s="9" t="n">
        <v>1.751893989568047</v>
      </c>
      <c r="L189" s="9" t="n">
        <v>0.08281109908715931</v>
      </c>
      <c r="M189" s="9" t="n">
        <v>0.1127076070342181</v>
      </c>
      <c r="N189" s="9" t="n">
        <v>0.6948711710452029</v>
      </c>
      <c r="O189" s="9" t="n">
        <v>3.728980261031376</v>
      </c>
      <c r="P189" s="9" t="n">
        <v>0.4333856166623833</v>
      </c>
      <c r="Q189" s="9" t="n">
        <v>0.2653485781963806</v>
      </c>
      <c r="R189" s="9" t="n">
        <v>0.4323818320847117</v>
      </c>
      <c r="S189" s="9" t="n">
        <v>0.833566024300068</v>
      </c>
      <c r="T189" s="9" t="n">
        <v>381916765392.105</v>
      </c>
      <c r="U189" s="9" t="n">
        <v>0.1226762291179045</v>
      </c>
      <c r="V189" s="9" t="n">
        <v>0.008229747049020001</v>
      </c>
      <c r="W189" s="9" t="n">
        <v>-1.921537845661046</v>
      </c>
      <c r="X189" s="9" t="n">
        <v>3.907598644188526</v>
      </c>
      <c r="Y189" s="9" t="n">
        <v>10.6758316848436</v>
      </c>
      <c r="Z189" s="9" t="n">
        <v>21.15958366249738</v>
      </c>
      <c r="AA189" s="9" t="n">
        <v>10.62161830584022</v>
      </c>
      <c r="AB189" s="9" t="n">
        <v>11.00493302519584</v>
      </c>
      <c r="AC189" s="9" t="n">
        <v>1.500017905871273</v>
      </c>
      <c r="AD189" s="9" t="n">
        <v>2.767625000000407</v>
      </c>
      <c r="AE189" s="9" t="n">
        <v>6501.189974537039</v>
      </c>
      <c r="AF189" s="9" t="n">
        <v>6501.189974537039</v>
      </c>
      <c r="AG189" s="9" t="n">
        <v>6501.189974537039</v>
      </c>
      <c r="AH189" s="8" t="inlineStr">
        <is>
          <t>Moderate (5.0-5.9)</t>
        </is>
      </c>
    </row>
    <row r="190">
      <c r="A190" s="8" t="inlineStr">
        <is>
          <t>1975-11-06 11:36:10.800</t>
        </is>
      </c>
      <c r="B190" s="8" t="n">
        <v>1975</v>
      </c>
      <c r="C190" s="9" t="n">
        <v>12.82</v>
      </c>
      <c r="D190" s="9" t="n">
        <v>126.5</v>
      </c>
      <c r="E190" s="8" t="n">
        <v>11</v>
      </c>
      <c r="F190" s="9" t="n">
        <v>5.3</v>
      </c>
      <c r="G190" s="9" t="n">
        <v>13</v>
      </c>
      <c r="H190" s="9" t="n">
        <v>6</v>
      </c>
      <c r="I190" s="9" t="n">
        <v>4.553846153846154</v>
      </c>
      <c r="J190" s="9" t="n">
        <v>0.4032702645324802</v>
      </c>
      <c r="K190" s="9" t="n">
        <v>2.349758483068511</v>
      </c>
      <c r="L190" s="9" t="n">
        <v>0.0580105734925626</v>
      </c>
      <c r="M190" s="9" t="n">
        <v>0.08116403000866119</v>
      </c>
      <c r="N190" s="9" t="n">
        <v>0.6948711710452039</v>
      </c>
      <c r="O190" s="9" t="n">
        <v>3.798467378135901</v>
      </c>
      <c r="P190" s="9" t="n">
        <v>0.1722357682693479</v>
      </c>
      <c r="Q190" s="9" t="n">
        <v>0.1694029531307053</v>
      </c>
      <c r="R190" s="9" t="n">
        <v>0.1732413973228697</v>
      </c>
      <c r="S190" s="9" t="n">
        <v>0.5335660243000691</v>
      </c>
      <c r="T190" s="9" t="n">
        <v>263385485002.9001</v>
      </c>
      <c r="U190" s="9" t="n">
        <v>0.0616863688533255</v>
      </c>
      <c r="V190" s="9" t="n">
        <v>0.0082297470490199</v>
      </c>
      <c r="W190" s="9" t="n">
        <v>-1.471960144387975</v>
      </c>
      <c r="X190" s="9" t="n">
        <v>18.05349194556475</v>
      </c>
      <c r="Y190" s="9" t="n">
        <v>4.69930657673195</v>
      </c>
      <c r="Z190" s="9" t="n">
        <v>27.96711441177202</v>
      </c>
      <c r="AA190" s="9" t="n">
        <v>31.0021010025075</v>
      </c>
      <c r="AB190" s="9" t="n">
        <v>40.17143811636653</v>
      </c>
      <c r="AC190" s="9" t="n">
        <v>10.88661755329573</v>
      </c>
      <c r="AD190" s="9" t="n">
        <v>6.130741898155975</v>
      </c>
      <c r="AE190" s="9" t="n">
        <v>43535.17270833333</v>
      </c>
      <c r="AF190" s="9" t="n">
        <v>43535.17270833333</v>
      </c>
      <c r="AG190" s="9" t="n">
        <v>43535.17270833333</v>
      </c>
      <c r="AH190" s="8" t="inlineStr">
        <is>
          <t>Moderate (5.0-5.9)</t>
        </is>
      </c>
    </row>
    <row r="191">
      <c r="A191" s="8" t="inlineStr">
        <is>
          <t>1975-11-29 02:17:52.100</t>
        </is>
      </c>
      <c r="B191" s="8" t="n">
        <v>1975</v>
      </c>
      <c r="C191" s="9" t="n">
        <v>12.19</v>
      </c>
      <c r="D191" s="9" t="n">
        <v>126.37</v>
      </c>
      <c r="E191" s="8" t="n">
        <v>33</v>
      </c>
      <c r="F191" s="9" t="n">
        <v>5.3</v>
      </c>
      <c r="G191" s="9" t="n">
        <v>6</v>
      </c>
      <c r="H191" s="9" t="n">
        <v>4.6</v>
      </c>
      <c r="I191" s="9" t="n">
        <v>4.216666666666667</v>
      </c>
      <c r="J191" s="9" t="n">
        <v>1.431363764158989</v>
      </c>
      <c r="K191" s="9" t="n">
        <v>6.488849064187415</v>
      </c>
      <c r="L191" s="9" t="n">
        <v>0.445660926343246</v>
      </c>
      <c r="M191" s="9" t="n">
        <v>0.1306650369375633</v>
      </c>
      <c r="N191" s="9" t="n">
        <v>1.737177927613014</v>
      </c>
      <c r="O191" s="9" t="n">
        <v>7.773268550694319</v>
      </c>
      <c r="P191" s="9" t="n">
        <v>0.6564371129194038</v>
      </c>
      <c r="Q191" s="9" t="n">
        <v>0.1296681491163815</v>
      </c>
      <c r="R191" s="9" t="n">
        <v>0.0666666666666673</v>
      </c>
      <c r="S191" s="9" t="n">
        <v>0.1253469278329726</v>
      </c>
      <c r="T191" s="9" t="n">
        <v>18871683539.29418</v>
      </c>
      <c r="U191" s="9" t="n">
        <v>5.080526342529038e-05</v>
      </c>
      <c r="V191" s="9" t="n">
        <v>6.144212353327941e-06</v>
      </c>
      <c r="W191" s="9" t="n">
        <v>1.788854381999832</v>
      </c>
      <c r="X191" s="9" t="n">
        <v>4.847224065219008</v>
      </c>
      <c r="Y191" s="9" t="n">
        <v>10.4634237522143</v>
      </c>
      <c r="Z191" s="9" t="n">
        <v>19.16167719062342</v>
      </c>
      <c r="AA191" s="9" t="n">
        <v>9.572911283312909</v>
      </c>
      <c r="AB191" s="9" t="n">
        <v>22.40755700071458</v>
      </c>
      <c r="AC191" s="9" t="n">
        <v>-2.218731586489802</v>
      </c>
      <c r="AD191" s="9" t="n">
        <v>28.7430254629653</v>
      </c>
      <c r="AE191" s="9" t="n">
        <v>43535.17270833333</v>
      </c>
      <c r="AF191" s="9" t="n">
        <v>43535.17270833333</v>
      </c>
      <c r="AG191" s="9" t="n">
        <v>43535.17270833333</v>
      </c>
      <c r="AH191" s="8" t="inlineStr">
        <is>
          <t>Moderate (5.0-5.9)</t>
        </is>
      </c>
    </row>
    <row r="192">
      <c r="A192" s="8" t="inlineStr">
        <is>
          <t>1976-02-26 18:07:56.400</t>
        </is>
      </c>
      <c r="B192" s="8" t="n">
        <v>1976</v>
      </c>
      <c r="C192" s="9" t="n">
        <v>13.33</v>
      </c>
      <c r="D192" s="9" t="n">
        <v>125.98</v>
      </c>
      <c r="E192" s="8" t="n">
        <v>116</v>
      </c>
      <c r="F192" s="9" t="n">
        <v>5.1</v>
      </c>
      <c r="G192" s="9" t="n">
        <v>6</v>
      </c>
      <c r="H192" s="9" t="n">
        <v>5.6</v>
      </c>
      <c r="I192" s="9" t="n">
        <v>4.8</v>
      </c>
      <c r="J192" s="9" t="n">
        <v>0.4626630348796719</v>
      </c>
      <c r="K192" s="9" t="n">
        <v>2.658756877972631</v>
      </c>
      <c r="L192" s="9" t="n">
        <v>0.1212641724332642</v>
      </c>
      <c r="M192" s="9" t="n">
        <v>0.0819304652854919</v>
      </c>
      <c r="N192" s="9" t="n">
        <v>0.7042613220052737</v>
      </c>
      <c r="O192" s="9" t="n">
        <v>3.787149468144449</v>
      </c>
      <c r="P192" s="9" t="n">
        <v>0.2809768749204069</v>
      </c>
      <c r="Q192" s="9" t="n">
        <v>0.1483391311284877</v>
      </c>
      <c r="R192" s="9" t="n">
        <v>-0.1466377850223388</v>
      </c>
      <c r="S192" s="9" t="n">
        <v>0.222522421987998</v>
      </c>
      <c r="T192" s="9" t="n">
        <v>134070387465.6717</v>
      </c>
      <c r="U192" s="9" t="n">
        <v>0.0409270927183878</v>
      </c>
      <c r="V192" s="9" t="n">
        <v>0.0077128704008256</v>
      </c>
      <c r="W192" s="9" t="n">
        <v>2.121320343559642</v>
      </c>
      <c r="X192" s="9" t="n">
        <v>3.921189535807645</v>
      </c>
      <c r="Y192" s="9" t="n">
        <v>13.9215697037073</v>
      </c>
      <c r="Z192" s="9" t="n">
        <v>53.48497079652923</v>
      </c>
      <c r="AA192" s="9" t="n">
        <v>37.59454592767212</v>
      </c>
      <c r="AB192" s="9" t="n">
        <v>84.53438850605812</v>
      </c>
      <c r="AC192" s="9" t="n">
        <v>-20.89251269937811</v>
      </c>
      <c r="AD192" s="9" t="n">
        <v>118.4027974537094</v>
      </c>
      <c r="AE192" s="9" t="n">
        <v>43535.17270833333</v>
      </c>
      <c r="AF192" s="9" t="n">
        <v>43535.17270833333</v>
      </c>
      <c r="AG192" s="9" t="n">
        <v>43535.17270833333</v>
      </c>
      <c r="AH192" s="8" t="inlineStr">
        <is>
          <t>Moderate (5.0-5.9)</t>
        </is>
      </c>
    </row>
    <row r="193">
      <c r="A193" s="8" t="inlineStr">
        <is>
          <t>1977-03-19 19:35:09.200</t>
        </is>
      </c>
      <c r="B193" s="8" t="n">
        <v>1977</v>
      </c>
      <c r="C193" s="9" t="n">
        <v>17.02</v>
      </c>
      <c r="D193" s="9" t="n">
        <v>122.84</v>
      </c>
      <c r="E193" s="8" t="n">
        <v>129</v>
      </c>
      <c r="F193" s="9" t="n">
        <v>5.8</v>
      </c>
      <c r="G193" s="9" t="n">
        <v>12</v>
      </c>
      <c r="H193" s="9" t="n">
        <v>7.2</v>
      </c>
      <c r="I193" s="9" t="n">
        <v>4.858333333333333</v>
      </c>
      <c r="J193" s="9" t="n">
        <v>0.2631146106123618</v>
      </c>
      <c r="K193" s="9" t="n">
        <v>1.700652518616991</v>
      </c>
      <c r="L193" s="9" t="n">
        <v>0.0366913755515979</v>
      </c>
      <c r="M193" s="9" t="n">
        <v>0.191958668488055</v>
      </c>
      <c r="N193" s="9" t="n">
        <v>0.6537766394242506</v>
      </c>
      <c r="O193" s="9" t="n">
        <v>3.85247058136581</v>
      </c>
      <c r="P193" s="9" t="n">
        <v>0.2265337220657159</v>
      </c>
      <c r="Q193" s="9" t="n">
        <v>0.3593797651077967</v>
      </c>
      <c r="R193" s="9" t="n">
        <v>0.736457307866849</v>
      </c>
      <c r="S193" s="9" t="n">
        <v>1.30735968669897</v>
      </c>
      <c r="T193" s="9" t="n">
        <v>3020828994408.93</v>
      </c>
      <c r="U193" s="9" t="n">
        <v>0.1624262314753938</v>
      </c>
      <c r="V193" s="9" t="n">
        <v>0.010931256415982</v>
      </c>
      <c r="W193" s="9" t="n">
        <v>-1</v>
      </c>
      <c r="X193" s="9" t="n">
        <v>17.34523400986977</v>
      </c>
      <c r="Y193" s="9" t="n">
        <v>2.57373238506062</v>
      </c>
      <c r="Z193" s="9" t="n">
        <v>20.14878921977941</v>
      </c>
      <c r="AA193" s="9" t="n">
        <v>13.15157720528584</v>
      </c>
      <c r="AB193" s="9" t="n">
        <v>16.4001680390312</v>
      </c>
      <c r="AC193" s="9" t="n">
        <v>-7.000726706605854</v>
      </c>
      <c r="AD193" s="9" t="n">
        <v>0.9105902777773736</v>
      </c>
      <c r="AE193" s="9" t="n">
        <v>0.9105902777773736</v>
      </c>
      <c r="AF193" s="9" t="n">
        <v>0.9105902777773736</v>
      </c>
      <c r="AG193" s="9" t="n">
        <v>43535.17270833333</v>
      </c>
      <c r="AH193" s="8" t="inlineStr">
        <is>
          <t>Moderate (5.0-5.9)</t>
        </is>
      </c>
    </row>
    <row r="194">
      <c r="A194" s="8" t="inlineStr">
        <is>
          <t>1977-07-27 17:25:05.900</t>
        </is>
      </c>
      <c r="B194" s="8" t="n">
        <v>1977</v>
      </c>
      <c r="C194" s="9" t="n">
        <v>17.81</v>
      </c>
      <c r="D194" s="9" t="n">
        <v>122.33</v>
      </c>
      <c r="E194" s="8" t="n">
        <v>33</v>
      </c>
      <c r="F194" s="9" t="n">
        <v>5.1</v>
      </c>
      <c r="G194" s="9" t="n">
        <v>6</v>
      </c>
      <c r="H194" s="9" t="n">
        <v>6.9</v>
      </c>
      <c r="I194" s="9" t="n">
        <v>4.95</v>
      </c>
      <c r="J194" s="9" t="n">
        <v>0.1083784952522917</v>
      </c>
      <c r="K194" s="9" t="n">
        <v>0.6755161962044935</v>
      </c>
      <c r="L194" s="9" t="n">
        <v>0.0108455525167499</v>
      </c>
      <c r="M194" s="9" t="n">
        <v>0.1043111902861195</v>
      </c>
      <c r="N194" s="9" t="n">
        <v>0.5109346845920612</v>
      </c>
      <c r="O194" s="9" t="n">
        <v>2.87851427230235</v>
      </c>
      <c r="P194" s="9" t="n">
        <v>0.2410439408473323</v>
      </c>
      <c r="Q194" s="9" t="n">
        <v>0.2920590265773661</v>
      </c>
      <c r="R194" s="9" t="n">
        <v>0.6670642627767158</v>
      </c>
      <c r="S194" s="9" t="n">
        <v>1.266179554632108</v>
      </c>
      <c r="T194" s="9" t="n">
        <v>1622191474944.173</v>
      </c>
      <c r="U194" s="9" t="n">
        <v>0.4730036741756503</v>
      </c>
      <c r="V194" s="9" t="n">
        <v>0.0293221591238937</v>
      </c>
      <c r="W194" s="9" t="n">
        <v>-2.520504151250418</v>
      </c>
      <c r="X194" s="9" t="n">
        <v>4.974606525147834</v>
      </c>
      <c r="Y194" s="9" t="n">
        <v>15.5500009511008</v>
      </c>
      <c r="Z194" s="9" t="n">
        <v>30.08634185896373</v>
      </c>
      <c r="AA194" s="9" t="n">
        <v>11.84387415294798</v>
      </c>
      <c r="AB194" s="9" t="n">
        <v>15.58400856490374</v>
      </c>
      <c r="AC194" s="9" t="n">
        <v>5.030489025102053</v>
      </c>
      <c r="AD194" s="9" t="n">
        <v>6.152258101850748</v>
      </c>
      <c r="AE194" s="9" t="n">
        <v>6.152258101850748</v>
      </c>
      <c r="AF194" s="9" t="n">
        <v>10072.59810069444</v>
      </c>
      <c r="AG194" s="9" t="n">
        <v>43535.17270833333</v>
      </c>
      <c r="AH194" s="8" t="inlineStr">
        <is>
          <t>Moderate (5.0-5.9)</t>
        </is>
      </c>
    </row>
    <row r="195">
      <c r="A195" s="8" t="inlineStr">
        <is>
          <t>1977-12-31 13:11:24.500</t>
        </is>
      </c>
      <c r="B195" s="8" t="n">
        <v>1977</v>
      </c>
      <c r="C195" s="9" t="n">
        <v>8.58</v>
      </c>
      <c r="D195" s="9" t="n">
        <v>126.8</v>
      </c>
      <c r="E195" s="8" t="n">
        <v>33</v>
      </c>
      <c r="F195" s="9" t="n">
        <v>5</v>
      </c>
      <c r="G195" s="9" t="n">
        <v>6</v>
      </c>
      <c r="H195" s="9" t="n">
        <v>5.1</v>
      </c>
      <c r="I195" s="9" t="n">
        <v>4.283333333333333</v>
      </c>
      <c r="J195" s="9" t="n">
        <v>-0</v>
      </c>
      <c r="K195" s="9" t="n">
        <v>0</v>
      </c>
      <c r="L195" s="9" t="n">
        <v>0</v>
      </c>
      <c r="M195" s="9" t="n">
        <v>0</v>
      </c>
      <c r="N195" s="9" t="n">
        <v/>
      </c>
      <c r="O195" s="9" t="n">
        <v/>
      </c>
      <c r="P195" s="9" t="n">
        <v/>
      </c>
      <c r="Q195" s="9" t="n">
        <v/>
      </c>
      <c r="R195" s="9" t="n">
        <v/>
      </c>
      <c r="S195" s="9" t="n">
        <v/>
      </c>
      <c r="T195" s="9" t="n">
        <v>40620222176.83237</v>
      </c>
      <c r="U195" s="9" t="n">
        <v>1</v>
      </c>
      <c r="V195" s="9" t="n">
        <v/>
      </c>
      <c r="W195" s="9" t="n">
        <v>-2.520504151250418</v>
      </c>
      <c r="X195" s="9" t="n">
        <v>6.753637971265559</v>
      </c>
      <c r="Y195" s="9" t="n">
        <v>4.499275461946789</v>
      </c>
      <c r="Z195" s="9" t="n">
        <v>12.91289665997</v>
      </c>
      <c r="AA195" s="9" t="n">
        <v>5.159613385444388</v>
      </c>
      <c r="AB195" s="9" t="n">
        <v>5.927943742930751</v>
      </c>
      <c r="AC195" s="9" t="n">
        <v>-0.5427433456249963</v>
      </c>
      <c r="AD195" s="9" t="n">
        <v>3207.869756944445</v>
      </c>
      <c r="AE195" s="9" t="n">
        <v>5773.744658564814</v>
      </c>
      <c r="AF195" s="9" t="n">
        <v>19481.42115162037</v>
      </c>
      <c r="AG195" s="9" t="n">
        <v>20503.77449652777</v>
      </c>
      <c r="AH195" s="8" t="inlineStr">
        <is>
          <t>Moderate (5.0-5.9)</t>
        </is>
      </c>
    </row>
    <row r="196">
      <c r="A196" s="8" t="inlineStr">
        <is>
          <t>1979-02-19 00:35:43.300</t>
        </is>
      </c>
      <c r="B196" s="8" t="n">
        <v>1979</v>
      </c>
      <c r="C196" s="9" t="n">
        <v>5.4</v>
      </c>
      <c r="D196" s="9" t="n">
        <v>124.72</v>
      </c>
      <c r="E196" s="8" t="n">
        <v>50</v>
      </c>
      <c r="F196" s="9" t="n">
        <v>5.2</v>
      </c>
      <c r="G196" s="9" t="n">
        <v>3</v>
      </c>
      <c r="H196" s="9" t="n">
        <v>5.8</v>
      </c>
      <c r="I196" s="9" t="n">
        <v>4.999999999999999</v>
      </c>
      <c r="J196" s="9" t="n">
        <v>0.2701017654290314</v>
      </c>
      <c r="K196" s="9" t="n">
        <v>1.53074936172701</v>
      </c>
      <c r="L196" s="9" t="n">
        <v>0.08277200672227431</v>
      </c>
      <c r="M196" s="9" t="n">
        <v>0.0784766285123789</v>
      </c>
      <c r="N196" s="9" t="n">
        <v>0.4571520862139496</v>
      </c>
      <c r="O196" s="9" t="n">
        <v>2.351444808196856</v>
      </c>
      <c r="P196" s="9" t="n">
        <v>0.2371100983920493</v>
      </c>
      <c r="Q196" s="9" t="n">
        <v>0.1625358545286505</v>
      </c>
      <c r="R196" s="9" t="n">
        <v>0.1326939781546512</v>
      </c>
      <c r="S196" s="9" t="n">
        <v>0.6563183257652963</v>
      </c>
      <c r="T196" s="9" t="n">
        <v>170528110911.392</v>
      </c>
      <c r="U196" s="9" t="n">
        <v>0.1547728228839269</v>
      </c>
      <c r="V196" s="9" t="n">
        <v>0.0425151525144297</v>
      </c>
      <c r="W196" s="9" t="n">
        <v>0.4472135954999578</v>
      </c>
      <c r="X196" s="9" t="n">
        <v>5.375620014486486</v>
      </c>
      <c r="Y196" s="9" t="n">
        <v>10.0328129179921</v>
      </c>
      <c r="Z196" s="9" t="n">
        <v>24.2320981845086</v>
      </c>
      <c r="AA196" s="9" t="n">
        <v>15.17614725038581</v>
      </c>
      <c r="AB196" s="9" t="n">
        <v>21.47128689997012</v>
      </c>
      <c r="AC196" s="9" t="n">
        <v>16.53403440255775</v>
      </c>
      <c r="AD196" s="9" t="n">
        <v>7534.251033564818</v>
      </c>
      <c r="AE196" s="9" t="n">
        <v>15843.8056400463</v>
      </c>
      <c r="AF196" s="9" t="n">
        <v>18323.5406400463</v>
      </c>
      <c r="AG196" s="9" t="n">
        <v>43535.17270833333</v>
      </c>
      <c r="AH196" s="8" t="inlineStr">
        <is>
          <t>Moderate (5.0-5.9)</t>
        </is>
      </c>
    </row>
    <row r="197">
      <c r="A197" s="8" t="inlineStr">
        <is>
          <t>1979-10-05 02:12:56.100</t>
        </is>
      </c>
      <c r="B197" s="8" t="n">
        <v>1979</v>
      </c>
      <c r="C197" s="9" t="n">
        <v>9.859999999999999</v>
      </c>
      <c r="D197" s="9" t="n">
        <v>126.49</v>
      </c>
      <c r="E197" s="8" t="n">
        <v>104</v>
      </c>
      <c r="F197" s="9" t="n">
        <v>5.2</v>
      </c>
      <c r="G197" s="9" t="n">
        <v>3</v>
      </c>
      <c r="H197" s="9" t="n">
        <v>5.1</v>
      </c>
      <c r="I197" s="9" t="n">
        <v>4.566666666666666</v>
      </c>
      <c r="J197" s="9" t="n">
        <v>0.4361207586661476</v>
      </c>
      <c r="K197" s="9" t="n">
        <v>2.174624554322934</v>
      </c>
      <c r="L197" s="9" t="n">
        <v>0.1391043769137274</v>
      </c>
      <c r="M197" s="9" t="n">
        <v>0.0768207975386431</v>
      </c>
      <c r="N197" s="9" t="n">
        <v>0.7042613220052737</v>
      </c>
      <c r="O197" s="9" t="n">
        <v>3.294166542740757</v>
      </c>
      <c r="P197" s="9" t="n">
        <v>0.36273958574538</v>
      </c>
      <c r="Q197" s="9" t="n">
        <v>0.1620687345625465</v>
      </c>
      <c r="R197" s="9" t="n">
        <v>0.113710053669747</v>
      </c>
      <c r="S197" s="9" t="n">
        <v>0.422522421987999</v>
      </c>
      <c r="T197" s="9" t="n">
        <v>41472355276.22159</v>
      </c>
      <c r="U197" s="9" t="n">
        <v>0.0491629261558888</v>
      </c>
      <c r="V197" s="9" t="n">
        <v>0.0077128704008256</v>
      </c>
      <c r="W197" s="9" t="n">
        <v>-0.6123724356957945</v>
      </c>
      <c r="X197" s="9" t="n">
        <v>4.308100197271101</v>
      </c>
      <c r="Y197" s="9" t="n">
        <v>28.102112855097</v>
      </c>
      <c r="Z197" s="9" t="n">
        <v>42.0109335710485</v>
      </c>
      <c r="AA197" s="9" t="n">
        <v>13.80803641786903</v>
      </c>
      <c r="AB197" s="9" t="n">
        <v>51.37273972943801</v>
      </c>
      <c r="AC197" s="9" t="n">
        <v>2.611546970768126</v>
      </c>
      <c r="AD197" s="9" t="n">
        <v>1503.462697916664</v>
      </c>
      <c r="AE197" s="9" t="n">
        <v>8270.491123842592</v>
      </c>
      <c r="AF197" s="9" t="n">
        <v>10060.6359849537</v>
      </c>
      <c r="AG197" s="9" t="n">
        <v>10060.6359849537</v>
      </c>
      <c r="AH197" s="8" t="inlineStr">
        <is>
          <t>Moderate (5.0-5.9)</t>
        </is>
      </c>
    </row>
    <row r="198">
      <c r="A198" s="8" t="inlineStr">
        <is>
          <t>1980-01-04 04:44:00.900</t>
        </is>
      </c>
      <c r="B198" s="8" t="n">
        <v>1980</v>
      </c>
      <c r="C198" s="9" t="n">
        <v>6.07</v>
      </c>
      <c r="D198" s="9" t="n">
        <v>126.36</v>
      </c>
      <c r="E198" s="8" t="n">
        <v>66</v>
      </c>
      <c r="F198" s="9" t="n">
        <v>5</v>
      </c>
      <c r="G198" s="9" t="n">
        <v>5</v>
      </c>
      <c r="H198" s="9" t="n">
        <v>5.7</v>
      </c>
      <c r="I198" s="9" t="n">
        <v>4.779999999999999</v>
      </c>
      <c r="J198" s="9" t="n">
        <v>0.2763924059822862</v>
      </c>
      <c r="K198" s="9" t="n">
        <v>1.680178108967278</v>
      </c>
      <c r="L198" s="9" t="n">
        <v>0.060202440521308</v>
      </c>
      <c r="M198" s="9" t="n">
        <v>0.0937411205985227</v>
      </c>
      <c r="N198" s="9" t="n">
        <v>0.5264175538221239</v>
      </c>
      <c r="O198" s="9" t="n">
        <v>2.813013717380883</v>
      </c>
      <c r="P198" s="9" t="n">
        <v>0.2183849018859253</v>
      </c>
      <c r="Q198" s="9" t="n">
        <v>0.175379641402151</v>
      </c>
      <c r="R198" s="9" t="n">
        <v>-0.3789590184144176</v>
      </c>
      <c r="S198" s="9" t="n">
        <v>0.3563071520760905</v>
      </c>
      <c r="T198" s="9" t="n">
        <v>162155081109.9153</v>
      </c>
      <c r="U198" s="9" t="n">
        <v>0.1481913253113806</v>
      </c>
      <c r="V198" s="9" t="n">
        <v>0.0263479808144486</v>
      </c>
      <c r="W198" s="9" t="n">
        <v>-1.263227881599779</v>
      </c>
      <c r="X198" s="9" t="n">
        <v>6.210684822583022</v>
      </c>
      <c r="Y198" s="9" t="n">
        <v>21.3524362264455</v>
      </c>
      <c r="Z198" s="9" t="n">
        <v>39.33833392868022</v>
      </c>
      <c r="AA198" s="9" t="n">
        <v>21.0318136678885</v>
      </c>
      <c r="AB198" s="9" t="n">
        <v>43.89219180949649</v>
      </c>
      <c r="AC198" s="9" t="n">
        <v>-15.51721623971165</v>
      </c>
      <c r="AD198" s="9" t="n">
        <v>1638.426908564816</v>
      </c>
      <c r="AE198" s="9" t="n">
        <v>3419.660165509264</v>
      </c>
      <c r="AF198" s="9" t="n">
        <v>3419.660165509264</v>
      </c>
      <c r="AG198" s="9" t="n">
        <v>3419.660165509264</v>
      </c>
      <c r="AH198" s="8" t="inlineStr">
        <is>
          <t>Moderate (5.0-5.9)</t>
        </is>
      </c>
    </row>
    <row r="199">
      <c r="A199" s="8" t="inlineStr">
        <is>
          <t>1980-01-04 06:22:09.200</t>
        </is>
      </c>
      <c r="B199" s="8" t="n">
        <v>1980</v>
      </c>
      <c r="C199" s="9" t="n">
        <v>5.98</v>
      </c>
      <c r="D199" s="9" t="n">
        <v>126.21</v>
      </c>
      <c r="E199" s="8" t="n">
        <v>63</v>
      </c>
      <c r="F199" s="9" t="n">
        <v>5.3</v>
      </c>
      <c r="G199" s="9" t="n">
        <v>7</v>
      </c>
      <c r="H199" s="9" t="n">
        <v>5.7</v>
      </c>
      <c r="I199" s="9" t="n">
        <v>4.814285714285715</v>
      </c>
      <c r="J199" s="9" t="n">
        <v>0.4910337500304412</v>
      </c>
      <c r="K199" s="9" t="n">
        <v>2.875798622536583</v>
      </c>
      <c r="L199" s="9" t="n">
        <v>0.132249790900177</v>
      </c>
      <c r="M199" s="9" t="n">
        <v>0.0668896517778015</v>
      </c>
      <c r="N199" s="9" t="n">
        <v>0.5428681023790649</v>
      </c>
      <c r="O199" s="9" t="n">
        <v>3.058197280375716</v>
      </c>
      <c r="P199" s="9" t="n">
        <v>0.1616445088487881</v>
      </c>
      <c r="Q199" s="9" t="n">
        <v>0.0996978974827685</v>
      </c>
      <c r="R199" s="9" t="n">
        <v>-0.1566211026396855</v>
      </c>
      <c r="S199" s="9" t="n">
        <v>0.0665924246175562</v>
      </c>
      <c r="T199" s="9" t="n">
        <v>166525632147.1361</v>
      </c>
      <c r="U199" s="9" t="n">
        <v>0.0336433125238717</v>
      </c>
      <c r="V199" s="9" t="n">
        <v>0.023517745856009</v>
      </c>
      <c r="W199" s="9" t="n">
        <v>-1.381698559415515</v>
      </c>
      <c r="X199" s="9" t="n">
        <v>8.99386463871906</v>
      </c>
      <c r="Y199" s="9" t="n">
        <v>21.3524362264455</v>
      </c>
      <c r="Z199" s="9" t="n">
        <v>42.96755351183477</v>
      </c>
      <c r="AA199" s="9" t="n">
        <v>18.33348611938104</v>
      </c>
      <c r="AB199" s="9" t="n">
        <v>44.47225663427832</v>
      </c>
      <c r="AC199" s="9" t="n">
        <v>-6.909546345932078</v>
      </c>
      <c r="AD199" s="9" t="n">
        <v>1638.495060185182</v>
      </c>
      <c r="AE199" s="9" t="n">
        <v>3419.728317129629</v>
      </c>
      <c r="AF199" s="9" t="n">
        <v>3419.728317129629</v>
      </c>
      <c r="AG199" s="9" t="n">
        <v>3419.728317129629</v>
      </c>
      <c r="AH199" s="8" t="inlineStr">
        <is>
          <t>Moderate (5.0-5.9)</t>
        </is>
      </c>
    </row>
    <row r="200">
      <c r="A200" s="8" t="inlineStr">
        <is>
          <t>1980-06-18 17:14:47.800</t>
        </is>
      </c>
      <c r="B200" s="8" t="n">
        <v>1980</v>
      </c>
      <c r="C200" s="9" t="n">
        <v>9.66</v>
      </c>
      <c r="D200" s="9" t="n">
        <v>127</v>
      </c>
      <c r="E200" s="8" t="n">
        <v>11</v>
      </c>
      <c r="F200" s="9" t="n">
        <v>5.4</v>
      </c>
      <c r="G200" s="9" t="n">
        <v>11</v>
      </c>
      <c r="H200" s="9" t="n">
        <v>4.7</v>
      </c>
      <c r="I200" s="9" t="n">
        <v>4.245454545454545</v>
      </c>
      <c r="J200" s="9" t="n">
        <v>1.515620413176829</v>
      </c>
      <c r="K200" s="9" t="n">
        <v>7.165567384868532</v>
      </c>
      <c r="L200" s="9" t="n">
        <v>0.379409619382025</v>
      </c>
      <c r="M200" s="9" t="n">
        <v>0.0629676607222025</v>
      </c>
      <c r="N200" s="9" t="n">
        <v>1.961329918272749</v>
      </c>
      <c r="O200" s="9" t="n">
        <v>9.082683696759805</v>
      </c>
      <c r="P200" s="9" t="n">
        <v>0.6353729946312253</v>
      </c>
      <c r="Q200" s="9" t="n">
        <v>0.1406334051789984</v>
      </c>
      <c r="R200" s="9" t="n">
        <v>-0.0278113454866204</v>
      </c>
      <c r="S200" s="9" t="n">
        <v>0.069119895566323</v>
      </c>
      <c r="T200" s="9" t="n">
        <v>28240719325.11766</v>
      </c>
      <c r="U200" s="9" t="n">
        <v>2.83882591054478e-05</v>
      </c>
      <c r="V200" s="9" t="n">
        <v>1.306201701592639e-06</v>
      </c>
      <c r="W200" s="9" t="n">
        <v>-0.75</v>
      </c>
      <c r="X200" s="9" t="n">
        <v>10.71288865083316</v>
      </c>
      <c r="Y200" s="9" t="n">
        <v>14.7530034274722</v>
      </c>
      <c r="Z200" s="9" t="n">
        <v>34.62773997898214</v>
      </c>
      <c r="AA200" s="9" t="n">
        <v>15.59767036930012</v>
      </c>
      <c r="AB200" s="9" t="n">
        <v>37.85710142307561</v>
      </c>
      <c r="AC200" s="9" t="n">
        <v>3.90930658818501</v>
      </c>
      <c r="AD200" s="9" t="n">
        <v>10318.26227777778</v>
      </c>
      <c r="AE200" s="9" t="n">
        <v>10318.26227777778</v>
      </c>
      <c r="AF200" s="9" t="n">
        <v>10318.26227777778</v>
      </c>
      <c r="AG200" s="9" t="n">
        <v>10318.26227777778</v>
      </c>
      <c r="AH200" s="8" t="inlineStr">
        <is>
          <t>Moderate (5.0-5.9)</t>
        </is>
      </c>
    </row>
    <row r="201">
      <c r="A201" s="8" t="inlineStr">
        <is>
          <t>1982-01-24 06:08:52.200</t>
        </is>
      </c>
      <c r="B201" s="8" t="n">
        <v>1982</v>
      </c>
      <c r="C201" s="9" t="n">
        <v>14.27</v>
      </c>
      <c r="D201" s="9" t="n">
        <v>124.46</v>
      </c>
      <c r="E201" s="8" t="n">
        <v>50</v>
      </c>
      <c r="F201" s="9" t="n">
        <v>5.2</v>
      </c>
      <c r="G201" s="9" t="n">
        <v>10</v>
      </c>
      <c r="H201" s="9" t="n">
        <v>5.4</v>
      </c>
      <c r="I201" s="9" t="n">
        <v>4.45</v>
      </c>
      <c r="J201" s="9" t="n">
        <v>0.8204180669080094</v>
      </c>
      <c r="K201" s="9" t="n">
        <v>4.286335473248217</v>
      </c>
      <c r="L201" s="9" t="n">
        <v>0.2299096859241629</v>
      </c>
      <c r="M201" s="9" t="n">
        <v>0.1331355517264822</v>
      </c>
      <c r="N201" s="9" t="n">
        <v>0.7445048261198607</v>
      </c>
      <c r="O201" s="9" t="n">
        <v>3.905071520087057</v>
      </c>
      <c r="P201" s="9" t="n">
        <v>0.1893310622440361</v>
      </c>
      <c r="Q201" s="9" t="n">
        <v>0.1288052906224547</v>
      </c>
      <c r="R201" s="9" t="n">
        <v>0.1754253030987573</v>
      </c>
      <c r="S201" s="9" t="n">
        <v>0.1548069762836359</v>
      </c>
      <c r="T201" s="9" t="n">
        <v>81302160740.11639</v>
      </c>
      <c r="U201" s="9" t="n">
        <v>0.0034573695225291</v>
      </c>
      <c r="V201" s="9" t="n">
        <v>0.0058409773431952</v>
      </c>
      <c r="W201" s="9" t="n">
        <v>2.113082175181498</v>
      </c>
      <c r="X201" s="9" t="n">
        <v>13.16863436292312</v>
      </c>
      <c r="Y201" s="9" t="n">
        <v>34.0559158985368</v>
      </c>
      <c r="Z201" s="9" t="n">
        <v>73.58625208012434</v>
      </c>
      <c r="AA201" s="9" t="n">
        <v>22.09882713587581</v>
      </c>
      <c r="AB201" s="9" t="n">
        <v>74.2296796634655</v>
      </c>
      <c r="AC201" s="9" t="n">
        <v>-4.053470004009992</v>
      </c>
      <c r="AD201" s="9" t="n">
        <v>16058.84284953704</v>
      </c>
      <c r="AE201" s="9" t="n">
        <v>16058.84284953704</v>
      </c>
      <c r="AF201" s="9" t="n">
        <v>43535.17270833333</v>
      </c>
      <c r="AG201" s="9" t="n">
        <v>43535.17270833333</v>
      </c>
      <c r="AH201" s="8" t="inlineStr">
        <is>
          <t>Moderate (5.0-5.9)</t>
        </is>
      </c>
    </row>
    <row r="202">
      <c r="A202" s="8" t="inlineStr">
        <is>
          <t>1982-04-19 14:42:14.900</t>
        </is>
      </c>
      <c r="B202" s="8" t="n">
        <v>1982</v>
      </c>
      <c r="C202" s="9" t="n">
        <v>19.96</v>
      </c>
      <c r="D202" s="9" t="n">
        <v>120.43</v>
      </c>
      <c r="E202" s="8" t="n">
        <v>33</v>
      </c>
      <c r="F202" s="9" t="n">
        <v>5.2</v>
      </c>
      <c r="G202" s="9" t="n">
        <v>3</v>
      </c>
      <c r="H202" s="9" t="n">
        <v>5.5</v>
      </c>
      <c r="I202" s="9" t="n">
        <v>4.566666666666666</v>
      </c>
      <c r="J202" s="9" t="n">
        <v>0.1192803136799153</v>
      </c>
      <c r="K202" s="9" t="n">
        <v>0.6043535893115709</v>
      </c>
      <c r="L202" s="9" t="n">
        <v>0.0152711647352281</v>
      </c>
      <c r="M202" s="9" t="n">
        <v>0.1110439288481598</v>
      </c>
      <c r="N202" s="9" t="n">
        <v>0.8405699649740359</v>
      </c>
      <c r="O202" s="9" t="n">
        <v>3.923458111113209</v>
      </c>
      <c r="P202" s="9" t="n">
        <v>0.7583721095243252</v>
      </c>
      <c r="Q202" s="9" t="n">
        <v>0.3599559120106511</v>
      </c>
      <c r="R202" s="9" t="n">
        <v>0.4333333333333335</v>
      </c>
      <c r="S202" s="9" t="n">
        <v>0.8323836508548101</v>
      </c>
      <c r="T202" s="9" t="n">
        <v>89393842101.24959</v>
      </c>
      <c r="U202" s="9" t="n">
        <v>0.4386913376508317</v>
      </c>
      <c r="V202" s="9" t="n">
        <v>0.003008085007255</v>
      </c>
      <c r="W202" s="9" t="n">
        <v>-2.121320343559642</v>
      </c>
      <c r="X202" s="9" t="n">
        <v>4.047396061842092</v>
      </c>
      <c r="Y202" s="9" t="n">
        <v>33.1350646518919</v>
      </c>
      <c r="Z202" s="9" t="n">
        <v>45.34535778835113</v>
      </c>
      <c r="AA202" s="9" t="n">
        <v>15.23288665330253</v>
      </c>
      <c r="AB202" s="9" t="n">
        <v>40.59989621928781</v>
      </c>
      <c r="AC202" s="9" t="n">
        <v>19.91611264740693</v>
      </c>
      <c r="AD202" s="9" t="n">
        <v>6892.391260416662</v>
      </c>
      <c r="AE202" s="9" t="n">
        <v>10248.44519560185</v>
      </c>
      <c r="AF202" s="9" t="n">
        <v>43535.17270833333</v>
      </c>
      <c r="AG202" s="9" t="n">
        <v>43535.17270833333</v>
      </c>
      <c r="AH202" s="8" t="inlineStr">
        <is>
          <t>Moderate (5.0-5.9)</t>
        </is>
      </c>
    </row>
    <row r="203">
      <c r="A203" s="8" t="inlineStr">
        <is>
          <t>1983-02-13 14:22:59.400</t>
        </is>
      </c>
      <c r="B203" s="8" t="n">
        <v>1983</v>
      </c>
      <c r="C203" s="9" t="n">
        <v>5.41</v>
      </c>
      <c r="D203" s="9" t="n">
        <v>126.6</v>
      </c>
      <c r="E203" s="8" t="n">
        <v>52</v>
      </c>
      <c r="F203" s="9" t="n">
        <v>5</v>
      </c>
      <c r="G203" s="9" t="n">
        <v>3</v>
      </c>
      <c r="H203" s="9" t="n">
        <v>5.5</v>
      </c>
      <c r="I203" s="9" t="n">
        <v>5.2</v>
      </c>
      <c r="J203" s="9" t="n">
        <v>0.3180808364797748</v>
      </c>
      <c r="K203" s="9" t="n">
        <v>1.909360179865465</v>
      </c>
      <c r="L203" s="9" t="n">
        <v>0.0585624205128726</v>
      </c>
      <c r="M203" s="9" t="n">
        <v>0.0860141913557106</v>
      </c>
      <c r="N203" s="9" t="n">
        <v>0.7896263307331853</v>
      </c>
      <c r="O203" s="9" t="n">
        <v>4.188365009165634</v>
      </c>
      <c r="P203" s="9" t="n">
        <v>0.3609003080423377</v>
      </c>
      <c r="Q203" s="9" t="n">
        <v>0.2046967960857554</v>
      </c>
      <c r="R203" s="9" t="n">
        <v>-0.5027513791666989</v>
      </c>
      <c r="S203" s="9" t="n">
        <v>0.1957632412325392</v>
      </c>
      <c r="T203" s="9" t="n">
        <v>116102369054.4388</v>
      </c>
      <c r="U203" s="9" t="n">
        <v>0.1111111111111112</v>
      </c>
      <c r="V203" s="9" t="n">
        <v>0.0042768203492089</v>
      </c>
      <c r="W203" s="9" t="n">
        <v>-1</v>
      </c>
      <c r="X203" s="9" t="n">
        <v>2.210133864088711</v>
      </c>
      <c r="Y203" s="9" t="n">
        <v>63.0404844102833</v>
      </c>
      <c r="Z203" s="9" t="n">
        <v>74.0551421445184</v>
      </c>
      <c r="AA203" s="9" t="n">
        <v>12.89716661723471</v>
      </c>
      <c r="AB203" s="9" t="n">
        <v>67.07299665251215</v>
      </c>
      <c r="AC203" s="9" t="n">
        <v>94.95555017789552</v>
      </c>
      <c r="AD203" s="9" t="n">
        <v>7205.965849537039</v>
      </c>
      <c r="AE203" s="9" t="n">
        <v>11854.30374305556</v>
      </c>
      <c r="AF203" s="9" t="n">
        <v>11854.30374305556</v>
      </c>
      <c r="AG203" s="9" t="n">
        <v>43535.17270833333</v>
      </c>
      <c r="AH203" s="8" t="inlineStr">
        <is>
          <t>Moderate (5.0-5.9)</t>
        </is>
      </c>
    </row>
    <row r="204">
      <c r="A204" s="8" t="inlineStr">
        <is>
          <t>1983-03-15 19:58:33.300</t>
        </is>
      </c>
      <c r="B204" s="8" t="n">
        <v>1983</v>
      </c>
      <c r="C204" s="9" t="n">
        <v>5.24</v>
      </c>
      <c r="D204" s="9" t="n">
        <v>126.42</v>
      </c>
      <c r="E204" s="8" t="n">
        <v>115</v>
      </c>
      <c r="F204" s="9" t="n">
        <v>5.5</v>
      </c>
      <c r="G204" s="9" t="n">
        <v>6</v>
      </c>
      <c r="H204" s="9" t="n">
        <v>5.2</v>
      </c>
      <c r="I204" s="9" t="n">
        <v>4.283333333333332</v>
      </c>
      <c r="J204" s="9" t="n">
        <v>0.3283963589061617</v>
      </c>
      <c r="K204" s="9" t="n">
        <v>1.625561976585501</v>
      </c>
      <c r="L204" s="9" t="n">
        <v>0.0481041543427485</v>
      </c>
      <c r="M204" s="9" t="n">
        <v>0.0889301543898756</v>
      </c>
      <c r="N204" s="9" t="n">
        <v>0.6681453567742331</v>
      </c>
      <c r="O204" s="9" t="n">
        <v>3.107240494115761</v>
      </c>
      <c r="P204" s="9" t="n">
        <v>0.1991259345740764</v>
      </c>
      <c r="Q204" s="9" t="n">
        <v>0.2003788559624957</v>
      </c>
      <c r="R204" s="9" t="n">
        <v>0.2499999999999991</v>
      </c>
      <c r="S204" s="9" t="n">
        <v>0.549454332636035</v>
      </c>
      <c r="T204" s="9" t="n">
        <v>49452797239.81305</v>
      </c>
      <c r="U204" s="9" t="n">
        <v>0.103469159985601</v>
      </c>
      <c r="V204" s="9" t="n">
        <v>0.009898375607203899</v>
      </c>
      <c r="W204" s="9" t="n">
        <v>-1.866513050514766</v>
      </c>
      <c r="X204" s="9" t="n">
        <v>4.499104582957997</v>
      </c>
      <c r="Y204" s="9" t="n">
        <v>49.1578519724073</v>
      </c>
      <c r="Z204" s="9" t="n">
        <v>63.89536887358462</v>
      </c>
      <c r="AA204" s="9" t="n">
        <v>17.42367146540256</v>
      </c>
      <c r="AB204" s="9" t="n">
        <v>70.16786393773049</v>
      </c>
      <c r="AC204" s="9" t="n">
        <v>7.136690960409044</v>
      </c>
      <c r="AD204" s="9" t="n">
        <v>7236.198880787033</v>
      </c>
      <c r="AE204" s="9" t="n">
        <v>11884.53677430555</v>
      </c>
      <c r="AF204" s="9" t="n">
        <v>11884.53677430555</v>
      </c>
      <c r="AG204" s="9" t="n">
        <v>25568.46774652777</v>
      </c>
      <c r="AH204" s="8" t="inlineStr">
        <is>
          <t>Moderate (5.0-5.9)</t>
        </is>
      </c>
    </row>
    <row r="205">
      <c r="A205" s="8" t="inlineStr">
        <is>
          <t>1983-08-11 12:02:59.800</t>
        </is>
      </c>
      <c r="B205" s="8" t="n">
        <v>1983</v>
      </c>
      <c r="C205" s="9" t="n">
        <v>18.73</v>
      </c>
      <c r="D205" s="9" t="n">
        <v>120.98</v>
      </c>
      <c r="E205" s="8" t="n">
        <v>15</v>
      </c>
      <c r="F205" s="9" t="n">
        <v>5.1</v>
      </c>
      <c r="G205" s="9" t="n">
        <v>3</v>
      </c>
      <c r="H205" s="9" t="n">
        <v>4.4</v>
      </c>
      <c r="I205" s="9" t="n">
        <v>4.300000000000001</v>
      </c>
      <c r="J205" s="9" t="n">
        <v>2.385606273598328</v>
      </c>
      <c r="K205" s="9" t="n">
        <v>10.5174907266007</v>
      </c>
      <c r="L205" s="9" t="n">
        <v>0.7557266632048494</v>
      </c>
      <c r="M205" s="9" t="n">
        <v>0.0360667066065058</v>
      </c>
      <c r="N205" s="9" t="n">
        <v>2.895296546021672</v>
      </c>
      <c r="O205" s="9" t="n">
        <v>12.63736674801068</v>
      </c>
      <c r="P205" s="9" t="n">
        <v>1.113149032428996</v>
      </c>
      <c r="Q205" s="9" t="n">
        <v>0.1078416351329136</v>
      </c>
      <c r="R205" s="9" t="n">
        <v>-0.0087286502380967</v>
      </c>
      <c r="S205" s="9" t="n">
        <v>0.0352081566997837</v>
      </c>
      <c r="T205" s="9" t="n">
        <v>13207508090.97011</v>
      </c>
      <c r="U205" s="9" t="n">
        <v>6.969171937624866e-08</v>
      </c>
      <c r="V205" s="9" t="n">
        <v>2.061153622438658e-09</v>
      </c>
      <c r="W205" s="9" t="n">
        <v>-2.121320343559642</v>
      </c>
      <c r="X205" s="9" t="n">
        <v>4.308100197271101</v>
      </c>
      <c r="Y205" s="9" t="n">
        <v>6.0616548766752</v>
      </c>
      <c r="Z205" s="9" t="n">
        <v>16.0644776016491</v>
      </c>
      <c r="AA205" s="9" t="n">
        <v>13.46966595850774</v>
      </c>
      <c r="AB205" s="9" t="n">
        <v>13.92860750995244</v>
      </c>
      <c r="AC205" s="9" t="n">
        <v>-0.6771566333506733</v>
      </c>
      <c r="AD205" s="9" t="n">
        <v>7719.092011574077</v>
      </c>
      <c r="AE205" s="9" t="n">
        <v>9556.717682870374</v>
      </c>
      <c r="AF205" s="9" t="n">
        <v>43535.17270833333</v>
      </c>
      <c r="AG205" s="9" t="n">
        <v>43535.17270833333</v>
      </c>
      <c r="AH205" s="8" t="inlineStr">
        <is>
          <t>Moderate (5.0-5.9)</t>
        </is>
      </c>
    </row>
    <row r="206">
      <c r="A206" s="8" t="inlineStr">
        <is>
          <t>1983-08-17 12:17:56.600</t>
        </is>
      </c>
      <c r="B206" s="8" t="n">
        <v>1983</v>
      </c>
      <c r="C206" s="9" t="n">
        <v>18.29</v>
      </c>
      <c r="D206" s="9" t="n">
        <v>120.83</v>
      </c>
      <c r="E206" s="8" t="n">
        <v>29</v>
      </c>
      <c r="F206" s="9" t="n">
        <v>6.5</v>
      </c>
      <c r="G206" s="9" t="n">
        <v>3</v>
      </c>
      <c r="H206" s="9" t="n">
        <v>5.1</v>
      </c>
      <c r="I206" s="9" t="n">
        <v>4.533333333333333</v>
      </c>
      <c r="J206" s="9" t="n">
        <v>0.3879576522499897</v>
      </c>
      <c r="K206" s="9" t="n">
        <v>1.881818208000816</v>
      </c>
      <c r="L206" s="9" t="n">
        <v>0.09859086032377549</v>
      </c>
      <c r="M206" s="9" t="n">
        <v>0.1218104733215664</v>
      </c>
      <c r="N206" s="9" t="n">
        <v>1.132942126704137</v>
      </c>
      <c r="O206" s="9" t="n">
        <v>5.235478186877037</v>
      </c>
      <c r="P206" s="9" t="n">
        <v>0.8407821107884842</v>
      </c>
      <c r="Q206" s="9" t="n">
        <v>0.2815746525659597</v>
      </c>
      <c r="R206" s="9" t="n">
        <v>0.249423662384105</v>
      </c>
      <c r="S206" s="9" t="n">
        <v>0.4788652893438909</v>
      </c>
      <c r="T206" s="9" t="n">
        <v>40060243899.64427</v>
      </c>
      <c r="U206" s="9" t="n">
        <v>0.06856887802120459</v>
      </c>
      <c r="V206" s="9" t="n">
        <v>0.0003991844542591</v>
      </c>
      <c r="W206" s="9" t="n">
        <v>-0.4472135954999578</v>
      </c>
      <c r="X206" s="9" t="n">
        <v>5.887866499588108</v>
      </c>
      <c r="Y206" s="9" t="n">
        <v>6.0616548766752</v>
      </c>
      <c r="Z206" s="9" t="n">
        <v>15.34125048535062</v>
      </c>
      <c r="AA206" s="9" t="n">
        <v>13.9473599819922</v>
      </c>
      <c r="AB206" s="9" t="n">
        <v>9.357455172017929</v>
      </c>
      <c r="AC206" s="9" t="n">
        <v>-8.989544253217522</v>
      </c>
      <c r="AD206" s="9" t="n">
        <v>9562.728062499998</v>
      </c>
      <c r="AE206" s="9" t="n">
        <v>9562.728062499998</v>
      </c>
      <c r="AF206" s="9" t="n">
        <v>43535.17270833333</v>
      </c>
      <c r="AG206" s="9" t="n">
        <v>43535.17270833333</v>
      </c>
      <c r="AH206" s="8" t="inlineStr">
        <is>
          <t>Strong (6.0-6.9)</t>
        </is>
      </c>
    </row>
    <row r="207">
      <c r="A207" s="8" t="inlineStr">
        <is>
          <t>1983-08-27 18:49:46.400</t>
        </is>
      </c>
      <c r="B207" s="8" t="n">
        <v>1983</v>
      </c>
      <c r="C207" s="9" t="n">
        <v>8.15</v>
      </c>
      <c r="D207" s="9" t="n">
        <v>125.84</v>
      </c>
      <c r="E207" s="8" t="n">
        <v>40</v>
      </c>
      <c r="F207" s="9" t="n">
        <v>5.3</v>
      </c>
      <c r="G207" s="9" t="n">
        <v>3</v>
      </c>
      <c r="H207" s="9" t="n">
        <v>4.7</v>
      </c>
      <c r="I207" s="9" t="n">
        <v>4.366666666666666</v>
      </c>
      <c r="J207" s="9" t="n">
        <v>0.8337334825539061</v>
      </c>
      <c r="K207" s="9" t="n">
        <v>3.822596072672562</v>
      </c>
      <c r="L207" s="9" t="n">
        <v>0.2819941396631987</v>
      </c>
      <c r="M207" s="9" t="n">
        <v>0.08932670334796949</v>
      </c>
      <c r="N207" s="9" t="n">
        <v>1.371456258641849</v>
      </c>
      <c r="O207" s="9" t="n">
        <v>6.100091915151243</v>
      </c>
      <c r="P207" s="9" t="n">
        <v>0.7630438887732105</v>
      </c>
      <c r="Q207" s="9" t="n">
        <v>0.170063723677725</v>
      </c>
      <c r="R207" s="9" t="n">
        <v>0.1150862923687281</v>
      </c>
      <c r="S207" s="9" t="n">
        <v>0.2521061085884319</v>
      </c>
      <c r="T207" s="9" t="n">
        <v>19166261160.9207</v>
      </c>
      <c r="U207" s="9" t="n">
        <v>0.0031535487739365</v>
      </c>
      <c r="V207" s="9" t="n">
        <v>7.684776196487846e-05</v>
      </c>
      <c r="W207" s="9" t="n">
        <v>-0.4472135954999578</v>
      </c>
      <c r="X207" s="9" t="n">
        <v>6.539149811747721</v>
      </c>
      <c r="Y207" s="9" t="n">
        <v>6.68996749632424</v>
      </c>
      <c r="Z207" s="9" t="n">
        <v>19.85452926269832</v>
      </c>
      <c r="AA207" s="9" t="n">
        <v>11.84812193352314</v>
      </c>
      <c r="AB207" s="9" t="n">
        <v>12.3905797682688</v>
      </c>
      <c r="AC207" s="9" t="n">
        <v>-1.190764839130386</v>
      </c>
      <c r="AD207" s="9" t="n">
        <v>7838.97963425926</v>
      </c>
      <c r="AE207" s="9" t="n">
        <v>7838.97963425926</v>
      </c>
      <c r="AF207" s="9" t="n">
        <v>21546.65612731481</v>
      </c>
      <c r="AG207" s="9" t="n">
        <v>26344.61262037037</v>
      </c>
      <c r="AH207" s="8" t="inlineStr">
        <is>
          <t>Moderate (5.0-5.9)</t>
        </is>
      </c>
    </row>
    <row r="208">
      <c r="A208" s="8" t="inlineStr">
        <is>
          <t>1983-09-11 13:29:56.500</t>
        </is>
      </c>
      <c r="B208" s="8" t="n">
        <v>1983</v>
      </c>
      <c r="C208" s="9" t="n">
        <v>8.890000000000001</v>
      </c>
      <c r="D208" s="9" t="n">
        <v>126.4</v>
      </c>
      <c r="E208" s="8" t="n">
        <v>68</v>
      </c>
      <c r="F208" s="9" t="n">
        <v>5</v>
      </c>
      <c r="G208" s="9" t="n">
        <v>3</v>
      </c>
      <c r="H208" s="9" t="n">
        <v>4.9</v>
      </c>
      <c r="I208" s="9" t="n">
        <v>4.600000000000001</v>
      </c>
      <c r="J208" s="9" t="n">
        <v>0.0960497776667351</v>
      </c>
      <c r="K208" s="9" t="n">
        <v>0.7460606321865205</v>
      </c>
      <c r="L208" s="9" t="n">
        <v>0.0063656362549821</v>
      </c>
      <c r="M208" s="9" t="n">
        <v>0.0474882810545277</v>
      </c>
      <c r="N208" s="9" t="n">
        <v>0.6681453567742331</v>
      </c>
      <c r="O208" s="9" t="n">
        <v>3.149702681816595</v>
      </c>
      <c r="P208" s="9" t="n">
        <v>0.3080285702674875</v>
      </c>
      <c r="Q208" s="9" t="n">
        <v>0.2339216607596923</v>
      </c>
      <c r="R208" s="9" t="n">
        <v>-2.86743736747767</v>
      </c>
      <c r="S208" s="9" t="n">
        <v>0.1859020123657284</v>
      </c>
      <c r="T208" s="9" t="n">
        <v>36568235231.41093</v>
      </c>
      <c r="U208" s="9" t="n">
        <v>0.5150515126680099</v>
      </c>
      <c r="V208" s="9" t="n">
        <v>0.009898375607203899</v>
      </c>
      <c r="W208" s="9" t="n">
        <v>0.6123724356957945</v>
      </c>
      <c r="X208" s="9" t="n">
        <v>3.106279908141709</v>
      </c>
      <c r="Y208" s="9" t="n">
        <v>2.21413531049872</v>
      </c>
      <c r="Z208" s="9" t="n">
        <v>24.33524986140481</v>
      </c>
      <c r="AA208" s="9" t="n">
        <v>28.49557880115652</v>
      </c>
      <c r="AB208" s="9" t="n">
        <v>29.02355123136217</v>
      </c>
      <c r="AC208" s="9" t="n">
        <v>-3.519717978792163</v>
      </c>
      <c r="AD208" s="9" t="n">
        <v>7853.757528935181</v>
      </c>
      <c r="AE208" s="9" t="n">
        <v>7853.757528935181</v>
      </c>
      <c r="AF208" s="9" t="n">
        <v>11498.10612847222</v>
      </c>
      <c r="AG208" s="9" t="n">
        <v>11498.10612847222</v>
      </c>
      <c r="AH208" s="8" t="inlineStr">
        <is>
          <t>Moderate (5.0-5.9)</t>
        </is>
      </c>
    </row>
    <row r="209">
      <c r="A209" s="8" t="inlineStr">
        <is>
          <t>1984-11-11 23:07:21.300</t>
        </is>
      </c>
      <c r="B209" s="8" t="n">
        <v>1984</v>
      </c>
      <c r="C209" s="9" t="n">
        <v>10.55</v>
      </c>
      <c r="D209" s="9" t="n">
        <v>125.6</v>
      </c>
      <c r="E209" s="8" t="n">
        <v>32</v>
      </c>
      <c r="F209" s="9" t="n">
        <v>5</v>
      </c>
      <c r="G209" s="9" t="n">
        <v>7</v>
      </c>
      <c r="H209" s="9" t="n">
        <v>4.6</v>
      </c>
      <c r="I209" s="9" t="n">
        <v>4.285714285714286</v>
      </c>
      <c r="J209" s="9" t="n">
        <v>2.385606273598351</v>
      </c>
      <c r="K209" s="9" t="n">
        <v>10.99461198132046</v>
      </c>
      <c r="L209" s="9" t="n">
        <v>1.084994138396227</v>
      </c>
      <c r="M209" s="9" t="n">
        <v>0.0360667066065073</v>
      </c>
      <c r="N209" s="9" t="n">
        <v>2.895296546021689</v>
      </c>
      <c r="O209" s="9" t="n">
        <v>13.2164260572151</v>
      </c>
      <c r="P209" s="9" t="n">
        <v>1.598144189097513</v>
      </c>
      <c r="Q209" s="9" t="n">
        <v>0.4436841481781434</v>
      </c>
      <c r="R209" s="9" t="n">
        <v>-0.0087286502380976</v>
      </c>
      <c r="S209" s="9" t="n">
        <v>0.0352081566997828</v>
      </c>
      <c r="T209" s="9" t="n">
        <v>22628916504.21729</v>
      </c>
      <c r="U209" s="9" t="n">
        <v>6.96917193762377e-08</v>
      </c>
      <c r="V209" s="9" t="n">
        <v>2.061153622438413e-09</v>
      </c>
      <c r="W209" s="9" t="n">
        <v>-2.645751311064591</v>
      </c>
      <c r="X209" s="9" t="n">
        <v>8.99386463871906</v>
      </c>
      <c r="Y209" s="9" t="n">
        <v>21.2973489818042</v>
      </c>
      <c r="Z209" s="9" t="n">
        <v>46.97398280602328</v>
      </c>
      <c r="AA209" s="9" t="n">
        <v>23.35810918469205</v>
      </c>
      <c r="AB209" s="9" t="n">
        <v>60.02095805547378</v>
      </c>
      <c r="AC209" s="9" t="n">
        <v>2.823250407435512</v>
      </c>
      <c r="AD209" s="9" t="n">
        <v>3368.333822916662</v>
      </c>
      <c r="AE209" s="9" t="n">
        <v>10135.36224884259</v>
      </c>
      <c r="AF209" s="9" t="n">
        <v>13218.98091782407</v>
      </c>
      <c r="AG209" s="9" t="n">
        <v>43535.17270833333</v>
      </c>
      <c r="AH209" s="8" t="inlineStr">
        <is>
          <t>Moderate (5.0-5.9)</t>
        </is>
      </c>
    </row>
    <row r="210">
      <c r="A210" s="8" t="inlineStr">
        <is>
          <t>1984-11-12 01:06:15.500</t>
        </is>
      </c>
      <c r="B210" s="8" t="n">
        <v>1984</v>
      </c>
      <c r="C210" s="9" t="n">
        <v>10.69</v>
      </c>
      <c r="D210" s="9" t="n">
        <v>125.52</v>
      </c>
      <c r="E210" s="8" t="n">
        <v>34</v>
      </c>
      <c r="F210" s="9" t="n">
        <v>5.2</v>
      </c>
      <c r="G210" s="9" t="n">
        <v>8</v>
      </c>
      <c r="H210" s="9" t="n">
        <v>5</v>
      </c>
      <c r="I210" s="9" t="n">
        <v>4.375</v>
      </c>
      <c r="J210" s="9" t="n">
        <v>1.093375885388278</v>
      </c>
      <c r="K210" s="9" t="n">
        <v>5.336039695855133</v>
      </c>
      <c r="L210" s="9" t="n">
        <v>0.3150042943944967</v>
      </c>
      <c r="M210" s="9" t="n">
        <v>0.1109562322434112</v>
      </c>
      <c r="N210" s="9" t="n">
        <v>1.579252661466373</v>
      </c>
      <c r="O210" s="9" t="n">
        <v>7.550771701780006</v>
      </c>
      <c r="P210" s="9" t="n">
        <v>0.6571745357264597</v>
      </c>
      <c r="Q210" s="9" t="n">
        <v>0.194998737718388</v>
      </c>
      <c r="R210" s="9" t="n">
        <v>0.1196658284079426</v>
      </c>
      <c r="S210" s="9" t="n">
        <v>0.2187690506920301</v>
      </c>
      <c r="T210" s="9" t="n">
        <v>38885316793.80846</v>
      </c>
      <c r="U210" s="9" t="n">
        <v>0.0005246532214436</v>
      </c>
      <c r="V210" s="9" t="n">
        <v>1.82911922994072e-05</v>
      </c>
      <c r="W210" s="9" t="n">
        <v>-3.360672201667224</v>
      </c>
      <c r="X210" s="9" t="n">
        <v>11.33287844139639</v>
      </c>
      <c r="Y210" s="9" t="n">
        <v>21.2973489818042</v>
      </c>
      <c r="Z210" s="9" t="n">
        <v>48.37007524129995</v>
      </c>
      <c r="AA210" s="9" t="n">
        <v>21.98296657811883</v>
      </c>
      <c r="AB210" s="9" t="n">
        <v>58.95219476546625</v>
      </c>
      <c r="AC210" s="9" t="n">
        <v>3.157108315355343</v>
      </c>
      <c r="AD210" s="9" t="n">
        <v>3368.416394675933</v>
      </c>
      <c r="AE210" s="9" t="n">
        <v>10135.44482060186</v>
      </c>
      <c r="AF210" s="9" t="n">
        <v>13219.06348958334</v>
      </c>
      <c r="AG210" s="9" t="n">
        <v>43535.17270833333</v>
      </c>
      <c r="AH210" s="8" t="inlineStr">
        <is>
          <t>Moderate (5.0-5.9)</t>
        </is>
      </c>
    </row>
    <row r="211">
      <c r="A211" s="8" t="inlineStr">
        <is>
          <t>1987-05-02 18:16:59.600</t>
        </is>
      </c>
      <c r="B211" s="8" t="n">
        <v>1987</v>
      </c>
      <c r="C211" s="9" t="n">
        <v>6.08</v>
      </c>
      <c r="D211" s="9" t="n">
        <v>125.94</v>
      </c>
      <c r="E211" s="8" t="n">
        <v>145</v>
      </c>
      <c r="F211" s="9" t="n">
        <v>5.1</v>
      </c>
      <c r="G211" s="9" t="n">
        <v>3</v>
      </c>
      <c r="H211" s="9" t="n">
        <v>4.7</v>
      </c>
      <c r="I211" s="9" t="n">
        <v>4.366666666666666</v>
      </c>
      <c r="J211" s="9" t="n">
        <v>0.8337334825539061</v>
      </c>
      <c r="K211" s="9" t="n">
        <v>3.822596072672562</v>
      </c>
      <c r="L211" s="9" t="n">
        <v>0.2819941396631987</v>
      </c>
      <c r="M211" s="9" t="n">
        <v>0.08932670334796949</v>
      </c>
      <c r="N211" s="9" t="n">
        <v>1.371456258641849</v>
      </c>
      <c r="O211" s="9" t="n">
        <v>6.100091915151243</v>
      </c>
      <c r="P211" s="9" t="n">
        <v>0.7630438887732105</v>
      </c>
      <c r="Q211" s="9" t="n">
        <v>0.170063723677725</v>
      </c>
      <c r="R211" s="9" t="n">
        <v>0.1150862923687281</v>
      </c>
      <c r="S211" s="9" t="n">
        <v>0.2521061085884319</v>
      </c>
      <c r="T211" s="9" t="n">
        <v>19166261160.9207</v>
      </c>
      <c r="U211" s="9" t="n">
        <v>0.0031535487739365</v>
      </c>
      <c r="V211" s="9" t="n">
        <v>7.684776196487846e-05</v>
      </c>
      <c r="W211" s="9" t="n">
        <v>2.121320343559642</v>
      </c>
      <c r="X211" s="9" t="n">
        <v>4.047396061842092</v>
      </c>
      <c r="Y211" s="9" t="n">
        <v>10.0291601571178</v>
      </c>
      <c r="Z211" s="9" t="n">
        <v>25.5537627830721</v>
      </c>
      <c r="AA211" s="9" t="n">
        <v>24.83457762700417</v>
      </c>
      <c r="AB211" s="9" t="n">
        <v>42.32237111412843</v>
      </c>
      <c r="AC211" s="9" t="n">
        <v>-13.16221846430781</v>
      </c>
      <c r="AD211" s="9" t="n">
        <v>4313.99147685185</v>
      </c>
      <c r="AE211" s="9" t="n">
        <v>6095.224733796298</v>
      </c>
      <c r="AF211" s="9" t="n">
        <v>6095.224733796298</v>
      </c>
      <c r="AG211" s="9" t="n">
        <v>6095.224733796298</v>
      </c>
      <c r="AH211" s="8" t="inlineStr">
        <is>
          <t>Moderate (5.0-5.9)</t>
        </is>
      </c>
    </row>
    <row r="212">
      <c r="A212" s="8" t="inlineStr">
        <is>
          <t>1987-06-13 15:43:22.000</t>
        </is>
      </c>
      <c r="B212" s="8" t="n">
        <v>1987</v>
      </c>
      <c r="C212" s="9" t="n">
        <v>10.46</v>
      </c>
      <c r="D212" s="9" t="n">
        <v>126.36</v>
      </c>
      <c r="E212" s="8" t="n">
        <v>42</v>
      </c>
      <c r="F212" s="9" t="n">
        <v>5</v>
      </c>
      <c r="G212" s="9" t="n">
        <v>6</v>
      </c>
      <c r="H212" s="9" t="n">
        <v>5.4</v>
      </c>
      <c r="I212" s="9" t="n">
        <v>4.3</v>
      </c>
      <c r="J212" s="9" t="n">
        <v>0.1819412061705382</v>
      </c>
      <c r="K212" s="9" t="n">
        <v>0.9196300966438112</v>
      </c>
      <c r="L212" s="9" t="n">
        <v>0.0171376449735605</v>
      </c>
      <c r="M212" s="9" t="n">
        <v>0.0880854664789866</v>
      </c>
      <c r="N212" s="9" t="n">
        <v>0.6204206884332175</v>
      </c>
      <c r="O212" s="9" t="n">
        <v>2.906796887083495</v>
      </c>
      <c r="P212" s="9" t="n">
        <v>0.1992790045875044</v>
      </c>
      <c r="Q212" s="9" t="n">
        <v>0.2330326942138265</v>
      </c>
      <c r="R212" s="9" t="n">
        <v>0.3454545454545483</v>
      </c>
      <c r="S212" s="9" t="n">
        <v>0.7147969736080384</v>
      </c>
      <c r="T212" s="9" t="n">
        <v>73311416674.67299</v>
      </c>
      <c r="U212" s="9" t="n">
        <v>0.2845616572688985</v>
      </c>
      <c r="V212" s="9" t="n">
        <v>0.0137637867330503</v>
      </c>
      <c r="W212" s="9" t="n">
        <v>-1.549193338482967</v>
      </c>
      <c r="X212" s="9" t="n">
        <v>7.602274730651041</v>
      </c>
      <c r="Y212" s="9" t="n">
        <v>17.7760366983615</v>
      </c>
      <c r="Z212" s="9" t="n">
        <v>43.04679543510753</v>
      </c>
      <c r="AA212" s="9" t="n">
        <v>16.03890300648877</v>
      </c>
      <c r="AB212" s="9" t="n">
        <v>54.82996502119027</v>
      </c>
      <c r="AC212" s="9" t="n">
        <v>0.0926416906082118</v>
      </c>
      <c r="AD212" s="9" t="n">
        <v>4312.025497685183</v>
      </c>
      <c r="AE212" s="9" t="n">
        <v>11079.05392361111</v>
      </c>
      <c r="AF212" s="9" t="n">
        <v>43535.17270833333</v>
      </c>
      <c r="AG212" s="9" t="n">
        <v>43535.17270833333</v>
      </c>
      <c r="AH212" s="8" t="inlineStr">
        <is>
          <t>Moderate (5.0-5.9)</t>
        </is>
      </c>
    </row>
    <row r="213">
      <c r="A213" s="8" t="inlineStr">
        <is>
          <t>1989-08-10 11:46:27.900</t>
        </is>
      </c>
      <c r="B213" s="8" t="n">
        <v>1989</v>
      </c>
      <c r="C213" s="9" t="n">
        <v>6</v>
      </c>
      <c r="D213" s="9" t="n">
        <v>124.36</v>
      </c>
      <c r="E213" s="8" t="n">
        <v>38</v>
      </c>
      <c r="F213" s="9" t="n">
        <v>5.3</v>
      </c>
      <c r="G213" s="9" t="n">
        <v>5</v>
      </c>
      <c r="H213" s="9" t="n">
        <v>5.2</v>
      </c>
      <c r="I213" s="9" t="n">
        <v>4.42</v>
      </c>
      <c r="J213" s="9" t="n">
        <v>0.2006866637759879</v>
      </c>
      <c r="K213" s="9" t="n">
        <v>0.9967437634207396</v>
      </c>
      <c r="L213" s="9" t="n">
        <v>0.0186189654118927</v>
      </c>
      <c r="M213" s="9" t="n">
        <v>0.0839532547199264</v>
      </c>
      <c r="N213" s="9" t="n">
        <v>0.9650988486738924</v>
      </c>
      <c r="O213" s="9" t="n">
        <v>4.547464929829109</v>
      </c>
      <c r="P213" s="9" t="n">
        <v>0.4305881896303301</v>
      </c>
      <c r="Q213" s="9" t="n">
        <v>0.217206662343919</v>
      </c>
      <c r="R213" s="9" t="n">
        <v>0.233333333333336</v>
      </c>
      <c r="S213" s="9" t="n">
        <v>0.4880837687480239</v>
      </c>
      <c r="T213" s="9" t="n">
        <v>49705613063.53892</v>
      </c>
      <c r="U213" s="9" t="n">
        <v>0.2499999999999991</v>
      </c>
      <c r="V213" s="9" t="n">
        <v>0.0012726338013398</v>
      </c>
      <c r="W213" s="9" t="n">
        <v>-1</v>
      </c>
      <c r="X213" s="9" t="n">
        <v>11.19630040938268</v>
      </c>
      <c r="Y213" s="9" t="n">
        <v>2.63060790033666</v>
      </c>
      <c r="Z213" s="9" t="n">
        <v>19.12644326168705</v>
      </c>
      <c r="AA213" s="9" t="n">
        <v>11.87459909165242</v>
      </c>
      <c r="AB213" s="9" t="n">
        <v>26.5952069248268</v>
      </c>
      <c r="AC213" s="9" t="n">
        <v>27.9125340026258</v>
      </c>
      <c r="AD213" s="9" t="n">
        <v>4741.81625</v>
      </c>
      <c r="AE213" s="9" t="n">
        <v>4741.81625</v>
      </c>
      <c r="AF213" s="9" t="n">
        <v>4741.81625</v>
      </c>
      <c r="AG213" s="9" t="n">
        <v>4741.81625</v>
      </c>
      <c r="AH213" s="8" t="inlineStr">
        <is>
          <t>Moderate (5.0-5.9)</t>
        </is>
      </c>
    </row>
    <row r="214">
      <c r="A214" s="8" t="inlineStr">
        <is>
          <t>1989-11-14 17:39:40.000</t>
        </is>
      </c>
      <c r="B214" s="8" t="n">
        <v>1989</v>
      </c>
      <c r="C214" s="9" t="n">
        <v>10.2</v>
      </c>
      <c r="D214" s="9" t="n">
        <v>126.55</v>
      </c>
      <c r="E214" s="8" t="n">
        <v>33</v>
      </c>
      <c r="F214" s="9" t="n">
        <v>5.5</v>
      </c>
      <c r="G214" s="9" t="n">
        <v>3</v>
      </c>
      <c r="H214" s="9" t="n">
        <v>4.8</v>
      </c>
      <c r="I214" s="9" t="n">
        <v>4.600000000000001</v>
      </c>
      <c r="J214" s="9" t="n">
        <v>0.1886692061310874</v>
      </c>
      <c r="K214" s="9" t="n">
        <v>1.175197317404686</v>
      </c>
      <c r="L214" s="9" t="n">
        <v>0.0163741918973819</v>
      </c>
      <c r="M214" s="9" t="n">
        <v>0.052617327669266</v>
      </c>
      <c r="N214" s="9" t="n">
        <v>0.9650988486738924</v>
      </c>
      <c r="O214" s="9" t="n">
        <v>4.530536419150011</v>
      </c>
      <c r="P214" s="9" t="n">
        <v>0.4284512623473692</v>
      </c>
      <c r="Q214" s="9" t="n">
        <v>0.230891813097455</v>
      </c>
      <c r="R214" s="9" t="n">
        <v>-1.428877205261352</v>
      </c>
      <c r="S214" s="9" t="n">
        <v>0.1056244700993502</v>
      </c>
      <c r="T214" s="9" t="n">
        <v>30155256091.72208</v>
      </c>
      <c r="U214" s="9" t="n">
        <v>0.2716391617482752</v>
      </c>
      <c r="V214" s="9" t="n">
        <v>0.0012726338013398</v>
      </c>
      <c r="W214" s="9" t="n">
        <v>-0.6123724356957945</v>
      </c>
      <c r="X214" s="9" t="n">
        <v>7.410849195313975</v>
      </c>
      <c r="Y214" s="9" t="n">
        <v>30.0108328278043</v>
      </c>
      <c r="Z214" s="9" t="n">
        <v>49.52083199642269</v>
      </c>
      <c r="AA214" s="9" t="n">
        <v>16.94075237658164</v>
      </c>
      <c r="AB214" s="9" t="n">
        <v>46.01494546922981</v>
      </c>
      <c r="AC214" s="9" t="n">
        <v>3.427763408933829</v>
      </c>
      <c r="AD214" s="9" t="n">
        <v>5197.106261574074</v>
      </c>
      <c r="AE214" s="9" t="n">
        <v>11964.1346875</v>
      </c>
      <c r="AF214" s="9" t="n">
        <v>13754.27954861111</v>
      </c>
      <c r="AG214" s="9" t="n">
        <v>13754.27954861111</v>
      </c>
      <c r="AH214" s="8" t="inlineStr">
        <is>
          <t>Moderate (5.0-5.9)</t>
        </is>
      </c>
    </row>
    <row r="215">
      <c r="A215" s="8" t="inlineStr">
        <is>
          <t>1990-02-08 07:47:00.100</t>
        </is>
      </c>
      <c r="B215" s="8" t="n">
        <v>1990</v>
      </c>
      <c r="C215" s="9" t="n">
        <v>9.73</v>
      </c>
      <c r="D215" s="9" t="n">
        <v>124.64</v>
      </c>
      <c r="E215" s="8" t="n">
        <v>34</v>
      </c>
      <c r="F215" s="9" t="n">
        <v>6.5</v>
      </c>
      <c r="G215" s="9" t="n">
        <v>5</v>
      </c>
      <c r="H215" s="9" t="n">
        <v>6.6</v>
      </c>
      <c r="I215" s="9" t="n">
        <v>5.2</v>
      </c>
      <c r="J215" s="9" t="n">
        <v>0.3514059471289554</v>
      </c>
      <c r="K215" s="9" t="n">
        <v>2.157500961216329</v>
      </c>
      <c r="L215" s="9" t="n">
        <v>0.1181324202924523</v>
      </c>
      <c r="M215" s="9" t="n">
        <v>0.1253385209165553</v>
      </c>
      <c r="N215" s="9" t="n">
        <v>0.321699616224631</v>
      </c>
      <c r="O215" s="9" t="n">
        <v>1.953198379471413</v>
      </c>
      <c r="P215" s="9" t="n">
        <v>0.09900382485412899</v>
      </c>
      <c r="Q215" s="9" t="n">
        <v>0.1299047627960645</v>
      </c>
      <c r="R215" s="9" t="n">
        <v>0.4603743651936796</v>
      </c>
      <c r="S215" s="9" t="n">
        <v>0.5285026124881478</v>
      </c>
      <c r="T215" s="9" t="n">
        <v>874399424584.7069</v>
      </c>
      <c r="U215" s="9" t="n">
        <v>0.0882637060088494</v>
      </c>
      <c r="V215" s="9" t="n">
        <v>0.1083680232218958</v>
      </c>
      <c r="W215" s="9" t="n">
        <v>-1.698415551216894</v>
      </c>
      <c r="X215" s="9" t="n">
        <v>10.13924389296033</v>
      </c>
      <c r="Y215" s="9" t="n">
        <v>8.023648659932681</v>
      </c>
      <c r="Z215" s="9" t="n">
        <v>31.10244880868984</v>
      </c>
      <c r="AA215" s="9" t="n">
        <v>16.3359033054705</v>
      </c>
      <c r="AB215" s="9" t="n">
        <v>37.42210927796355</v>
      </c>
      <c r="AC215" s="9" t="n">
        <v>5.907575310977443</v>
      </c>
      <c r="AD215" s="9" t="n">
        <v>0.0218506944438559</v>
      </c>
      <c r="AE215" s="9" t="n">
        <v>0.0218506944438559</v>
      </c>
      <c r="AF215" s="9" t="n">
        <v>43535.17270833333</v>
      </c>
      <c r="AG215" s="9" t="n">
        <v>43535.17270833333</v>
      </c>
      <c r="AH215" s="8" t="inlineStr">
        <is>
          <t>Strong (6.0-6.9)</t>
        </is>
      </c>
    </row>
    <row r="216">
      <c r="A216" s="8" t="inlineStr">
        <is>
          <t>1990-02-22 17:19:35.900</t>
        </is>
      </c>
      <c r="B216" s="8" t="n">
        <v>1990</v>
      </c>
      <c r="C216" s="9" t="n">
        <v>16.13</v>
      </c>
      <c r="D216" s="9" t="n">
        <v>122.14</v>
      </c>
      <c r="E216" s="8" t="n">
        <v>19</v>
      </c>
      <c r="F216" s="9" t="n">
        <v>5</v>
      </c>
      <c r="G216" s="9" t="n">
        <v>4</v>
      </c>
      <c r="H216" s="9" t="n">
        <v>4.8</v>
      </c>
      <c r="I216" s="9" t="n">
        <v>4.324999999999999</v>
      </c>
      <c r="J216" s="9" t="n">
        <v>0.7884118934056646</v>
      </c>
      <c r="K216" s="9" t="n">
        <v>3.658947923487198</v>
      </c>
      <c r="L216" s="9" t="n">
        <v>0.2361833070758678</v>
      </c>
      <c r="M216" s="9" t="n">
        <v>0.1203607918000551</v>
      </c>
      <c r="N216" s="9" t="n">
        <v>1.579252661466373</v>
      </c>
      <c r="O216" s="9" t="n">
        <v>7.076995903340093</v>
      </c>
      <c r="P216" s="9" t="n">
        <v>0.9476459264714916</v>
      </c>
      <c r="Q216" s="9" t="n">
        <v>0.2426284600134379</v>
      </c>
      <c r="R216" s="9" t="n">
        <v>0.1590909090909091</v>
      </c>
      <c r="S216" s="9" t="n">
        <v>0.3187690506920306</v>
      </c>
      <c r="T216" s="9" t="n">
        <v>23225989279.3896</v>
      </c>
      <c r="U216" s="9" t="n">
        <v>0.0043128496627883</v>
      </c>
      <c r="V216" s="9" t="n">
        <v>1.82911922994072e-05</v>
      </c>
      <c r="W216" s="9" t="n">
        <v>-0.6324555320336758</v>
      </c>
      <c r="X216" s="9" t="n">
        <v>10.01427552475536</v>
      </c>
      <c r="Y216" s="9" t="n">
        <v>2.11652226471473</v>
      </c>
      <c r="Z216" s="9" t="n">
        <v>18.47465697071944</v>
      </c>
      <c r="AA216" s="9" t="n">
        <v>13.32985337401784</v>
      </c>
      <c r="AB216" s="9" t="n">
        <v>28.77369793404289</v>
      </c>
      <c r="AC216" s="9" t="n">
        <v>2.391392235890477</v>
      </c>
      <c r="AD216" s="9" t="n">
        <v>3615.192925925927</v>
      </c>
      <c r="AE216" s="9" t="n">
        <v>4723.816454861113</v>
      </c>
      <c r="AF216" s="9" t="n">
        <v>4723.816454861113</v>
      </c>
      <c r="AG216" s="9" t="n">
        <v>43535.17270833333</v>
      </c>
      <c r="AH216" s="8" t="inlineStr">
        <is>
          <t>Moderate (5.0-5.9)</t>
        </is>
      </c>
    </row>
    <row r="217">
      <c r="A217" s="8" t="inlineStr">
        <is>
          <t>1990-03-03 19:02:00.000</t>
        </is>
      </c>
      <c r="B217" s="8" t="n">
        <v>1990</v>
      </c>
      <c r="C217" s="9" t="n">
        <v>9.300000000000001</v>
      </c>
      <c r="D217" s="9" t="n">
        <v>124.8</v>
      </c>
      <c r="E217" s="8" t="n">
        <v>97</v>
      </c>
      <c r="F217" s="9" t="n">
        <v>5.5</v>
      </c>
      <c r="G217" s="9" t="n">
        <v>3</v>
      </c>
      <c r="H217" s="9" t="n">
        <v>4.3</v>
      </c>
      <c r="I217" s="9" t="n">
        <v>4.233333333333333</v>
      </c>
      <c r="J217" s="9" t="n">
        <v>0.8804562952784032</v>
      </c>
      <c r="K217" s="9" t="n">
        <v>4.057643522185167</v>
      </c>
      <c r="L217" s="9" t="n">
        <v>0.1188645041439569</v>
      </c>
      <c r="M217" s="9" t="n">
        <v>0.0508331679088684</v>
      </c>
      <c r="N217" s="9" t="n">
        <v>2.368878992199552</v>
      </c>
      <c r="O217" s="9" t="n">
        <v>10.18952512273783</v>
      </c>
      <c r="P217" s="9" t="n">
        <v>0.8604434442182703</v>
      </c>
      <c r="Q217" s="9" t="n">
        <v>0.2224321568782333</v>
      </c>
      <c r="R217" s="9" t="n">
        <v>-0.3085689249369574</v>
      </c>
      <c r="S217" s="9" t="n">
        <v>-0.0014122529224867</v>
      </c>
      <c r="T217" s="9" t="n">
        <v>11571365691.29677</v>
      </c>
      <c r="U217" s="9" t="n">
        <v>0.0022836582605212</v>
      </c>
      <c r="V217" s="9" t="n">
        <v>7.822814343740165e-08</v>
      </c>
      <c r="W217" s="9" t="n">
        <v>-2.121320343559642</v>
      </c>
      <c r="X217" s="9" t="n">
        <v>1.895216083342026</v>
      </c>
      <c r="Y217" s="9" t="n">
        <v>5.744421845281851</v>
      </c>
      <c r="Z217" s="9" t="n">
        <v>14.30800870212588</v>
      </c>
      <c r="AA217" s="9" t="n">
        <v>7.607365950597638</v>
      </c>
      <c r="AB217" s="9" t="n">
        <v>13.11618816349214</v>
      </c>
      <c r="AC217" s="9" t="n">
        <v>-2.102209946153783</v>
      </c>
      <c r="AD217" s="9" t="n">
        <v>23.46874884259523</v>
      </c>
      <c r="AE217" s="9" t="n">
        <v>23.46874884259523</v>
      </c>
      <c r="AF217" s="9" t="n">
        <v>43535.17270833333</v>
      </c>
      <c r="AG217" s="9" t="n">
        <v>43535.17270833333</v>
      </c>
      <c r="AH217" s="8" t="inlineStr">
        <is>
          <t>Moderate (5.0-5.9)</t>
        </is>
      </c>
    </row>
    <row r="218">
      <c r="A218" s="8" t="inlineStr">
        <is>
          <t>1990-05-27 14:00:36.400</t>
        </is>
      </c>
      <c r="B218" s="8" t="n">
        <v>1990</v>
      </c>
      <c r="C218" s="9" t="n">
        <v>12.67</v>
      </c>
      <c r="D218" s="9" t="n">
        <v>120.96</v>
      </c>
      <c r="E218" s="8" t="n">
        <v>8</v>
      </c>
      <c r="F218" s="9" t="n">
        <v>5.2</v>
      </c>
      <c r="G218" s="9" t="n">
        <v>3</v>
      </c>
      <c r="H218" s="9" t="n">
        <v>5.2</v>
      </c>
      <c r="I218" s="9" t="n">
        <v>4.9</v>
      </c>
      <c r="J218" s="9" t="n">
        <v>0.3180808364797747</v>
      </c>
      <c r="K218" s="9" t="n">
        <v>1.813935928921532</v>
      </c>
      <c r="L218" s="9" t="n">
        <v>0.0585624205128725</v>
      </c>
      <c r="M218" s="9" t="n">
        <v>0.0860141913557106</v>
      </c>
      <c r="N218" s="9" t="n">
        <v>0.7896263307331867</v>
      </c>
      <c r="O218" s="9" t="n">
        <v>3.951477109945684</v>
      </c>
      <c r="P218" s="9" t="n">
        <v>0.3609003080423387</v>
      </c>
      <c r="Q218" s="9" t="n">
        <v>0.2046967960857557</v>
      </c>
      <c r="R218" s="9" t="n">
        <v>-0.5027513791666989</v>
      </c>
      <c r="S218" s="9" t="n">
        <v>0.19576324123254</v>
      </c>
      <c r="T218" s="9" t="n">
        <v>62350663816.14738</v>
      </c>
      <c r="U218" s="9" t="n">
        <v>0.1111111111111113</v>
      </c>
      <c r="V218" s="9" t="n">
        <v>0.0042768203492088</v>
      </c>
      <c r="W218" s="9" t="n">
        <v>0.4472135954999578</v>
      </c>
      <c r="X218" s="9" t="n">
        <v>5.887866499588108</v>
      </c>
      <c r="Y218" s="9" t="n">
        <v>9.832951895083241</v>
      </c>
      <c r="Z218" s="9" t="n">
        <v>17.55092947524745</v>
      </c>
      <c r="AA218" s="9" t="n">
        <v>6.725218517072979</v>
      </c>
      <c r="AB218" s="9" t="n">
        <v>16.38874996274539</v>
      </c>
      <c r="AC218" s="9" t="n">
        <v>0.4589826012204178</v>
      </c>
      <c r="AD218" s="9" t="n">
        <v>17580.93069907407</v>
      </c>
      <c r="AE218" s="9" t="n">
        <v>17580.93069907407</v>
      </c>
      <c r="AF218" s="9" t="n">
        <v>17580.93069907407</v>
      </c>
      <c r="AG218" s="9" t="n">
        <v>17580.93069907407</v>
      </c>
      <c r="AH218" s="8" t="inlineStr">
        <is>
          <t>Moderate (5.0-5.9)</t>
        </is>
      </c>
    </row>
    <row r="219">
      <c r="A219" s="8" t="inlineStr">
        <is>
          <t>1990-07-16 08:00:52.400</t>
        </is>
      </c>
      <c r="B219" s="8" t="n">
        <v>1990</v>
      </c>
      <c r="C219" s="9" t="n">
        <v>16.5</v>
      </c>
      <c r="D219" s="9" t="n">
        <v>120.24</v>
      </c>
      <c r="E219" s="8" t="n">
        <v>33</v>
      </c>
      <c r="F219" s="9" t="n">
        <v>5.2</v>
      </c>
      <c r="G219" s="9" t="n">
        <v>3</v>
      </c>
      <c r="H219" s="9" t="n">
        <v>5.4</v>
      </c>
      <c r="I219" s="9" t="n">
        <v>5</v>
      </c>
      <c r="J219" s="9" t="n">
        <v>0.1835081748921778</v>
      </c>
      <c r="K219" s="9" t="n">
        <v>1.180633082507018</v>
      </c>
      <c r="L219" s="9" t="n">
        <v>0.0272006262135484</v>
      </c>
      <c r="M219" s="9" t="n">
        <v>0.0809998735235278</v>
      </c>
      <c r="N219" s="9" t="n">
        <v>0.5790593092043358</v>
      </c>
      <c r="O219" s="9" t="n">
        <v>2.967076284298306</v>
      </c>
      <c r="P219" s="9" t="n">
        <v>0.2708408490038737</v>
      </c>
      <c r="Q219" s="9" t="n">
        <v>0.2058087061548763</v>
      </c>
      <c r="R219" s="9" t="n">
        <v>-1.033681132738155</v>
      </c>
      <c r="S219" s="9" t="n">
        <v>0.2760407834989182</v>
      </c>
      <c r="T219" s="9" t="n">
        <v>93650398794.71318</v>
      </c>
      <c r="U219" s="9" t="n">
        <v>0.281498104822992</v>
      </c>
      <c r="V219" s="9" t="n">
        <v>0.0183156388887341</v>
      </c>
      <c r="W219" s="9" t="n">
        <v>-1</v>
      </c>
      <c r="X219" s="9" t="n">
        <v>5.375620014486486</v>
      </c>
      <c r="Y219" s="9" t="n">
        <v>1.8370666633396</v>
      </c>
      <c r="Z219" s="9" t="n">
        <v>8.32185106074281</v>
      </c>
      <c r="AA219" s="9" t="n">
        <v>5.895076909865502</v>
      </c>
      <c r="AB219" s="9" t="n">
        <v>11.13586605803195</v>
      </c>
      <c r="AC219" s="9" t="n">
        <v>353.1134689265164</v>
      </c>
      <c r="AD219" s="9" t="n">
        <v>1909.1135</v>
      </c>
      <c r="AE219" s="9" t="n">
        <v>8955.728094907408</v>
      </c>
      <c r="AF219" s="9" t="n">
        <v>8955.728094907408</v>
      </c>
      <c r="AG219" s="9" t="n">
        <v>8955.728094907408</v>
      </c>
      <c r="AH219" s="8" t="inlineStr">
        <is>
          <t>Moderate (5.0-5.9)</t>
        </is>
      </c>
    </row>
    <row r="220">
      <c r="A220" s="8" t="inlineStr">
        <is>
          <t>1990-07-16 08:32:00.900</t>
        </is>
      </c>
      <c r="B220" s="8" t="n">
        <v>1990</v>
      </c>
      <c r="C220" s="9" t="n">
        <v>16.75</v>
      </c>
      <c r="D220" s="9" t="n">
        <v>120.47</v>
      </c>
      <c r="E220" s="8" t="n">
        <v>33</v>
      </c>
      <c r="F220" s="9" t="n">
        <v>5</v>
      </c>
      <c r="G220" s="9" t="n">
        <v>7</v>
      </c>
      <c r="H220" s="9" t="n">
        <v>5.4</v>
      </c>
      <c r="I220" s="9" t="n">
        <v>4.971428571428571</v>
      </c>
      <c r="J220" s="9" t="n">
        <v>1.380211241711593</v>
      </c>
      <c r="K220" s="9" t="n">
        <v>7.548564956186534</v>
      </c>
      <c r="L220" s="9" t="n">
        <v>0.6248789334834041</v>
      </c>
      <c r="M220" s="9" t="n">
        <v>0.0835906203218722</v>
      </c>
      <c r="N220" s="9" t="n">
        <v>1.579252661466373</v>
      </c>
      <c r="O220" s="9" t="n">
        <v>8.498323298659828</v>
      </c>
      <c r="P220" s="9" t="n">
        <v>0.8181030235761706</v>
      </c>
      <c r="Q220" s="9" t="n">
        <v>0.5136020230305711</v>
      </c>
      <c r="R220" s="9" t="n">
        <v>-0.0691374248086811</v>
      </c>
      <c r="S220" s="9" t="n">
        <v>0.0187690506920317</v>
      </c>
      <c r="T220" s="9" t="n">
        <v>113729048671.203</v>
      </c>
      <c r="U220" s="9" t="n">
        <v>7.233796296296945e-05</v>
      </c>
      <c r="V220" s="9" t="n">
        <v>1.82911922994072e-05</v>
      </c>
      <c r="W220" s="9" t="n">
        <v>-1</v>
      </c>
      <c r="X220" s="9" t="n">
        <v>10.32709664663429</v>
      </c>
      <c r="Y220" s="9" t="n">
        <v>1.16554439201962</v>
      </c>
      <c r="Z220" s="9" t="n">
        <v>11.61594881495052</v>
      </c>
      <c r="AA220" s="9" t="n">
        <v>7.922256377062954</v>
      </c>
      <c r="AB220" s="9" t="n">
        <v>13.50949211040626</v>
      </c>
      <c r="AC220" s="9" t="n">
        <v>244.7279947013185</v>
      </c>
      <c r="AD220" s="9" t="n">
        <v>1909.135126157402</v>
      </c>
      <c r="AE220" s="9" t="n">
        <v>23098.62628356481</v>
      </c>
      <c r="AF220" s="9" t="n">
        <v>43535.17270833333</v>
      </c>
      <c r="AG220" s="9" t="n">
        <v>43535.17270833333</v>
      </c>
      <c r="AH220" s="8" t="inlineStr">
        <is>
          <t>Moderate (5.0-5.9)</t>
        </is>
      </c>
    </row>
    <row r="221">
      <c r="A221" s="8" t="inlineStr">
        <is>
          <t>1990-07-16 21:27:14.800</t>
        </is>
      </c>
      <c r="B221" s="8" t="n">
        <v>1990</v>
      </c>
      <c r="C221" s="9" t="n">
        <v>16.47</v>
      </c>
      <c r="D221" s="9" t="n">
        <v>120.32</v>
      </c>
      <c r="E221" s="8" t="n">
        <v>33</v>
      </c>
      <c r="F221" s="9" t="n">
        <v>5</v>
      </c>
      <c r="G221" s="9" t="n">
        <v>49</v>
      </c>
      <c r="H221" s="9" t="n">
        <v>5.7</v>
      </c>
      <c r="I221" s="9" t="n">
        <v>4.718367346938775</v>
      </c>
      <c r="J221" s="9" t="n">
        <v>1.568422140987034</v>
      </c>
      <c r="K221" s="9" t="n">
        <v>8.845943056313843</v>
      </c>
      <c r="L221" s="9" t="n">
        <v>0.2734377430118593</v>
      </c>
      <c r="M221" s="9" t="n">
        <v>0.1151203407939336</v>
      </c>
      <c r="N221" s="9" t="n">
        <v>1.210760373790884</v>
      </c>
      <c r="O221" s="9" t="n">
        <v>7.052301592834747</v>
      </c>
      <c r="P221" s="9" t="n">
        <v>0.1629479605535535</v>
      </c>
      <c r="Q221" s="9" t="n">
        <v>0.2254283823506526</v>
      </c>
      <c r="R221" s="9" t="n">
        <v>0.0599731059987824</v>
      </c>
      <c r="S221" s="9" t="n">
        <v>-0.124688142670239</v>
      </c>
      <c r="T221" s="9" t="n">
        <v>226670790259.6506</v>
      </c>
      <c r="U221" s="9" t="n">
        <v>1.971213101698288e-05</v>
      </c>
      <c r="V221" s="9" t="n">
        <v>0.0002331948089911</v>
      </c>
      <c r="W221" s="9" t="n">
        <v>-1</v>
      </c>
      <c r="X221" s="9" t="n">
        <v>33.59164827038821</v>
      </c>
      <c r="Y221" s="9" t="n">
        <v>1.16554439201962</v>
      </c>
      <c r="Z221" s="9" t="n">
        <v>12.19890734616955</v>
      </c>
      <c r="AA221" s="9" t="n">
        <v>8.148337499394739</v>
      </c>
      <c r="AB221" s="9" t="n">
        <v>9.916752551033314</v>
      </c>
      <c r="AC221" s="9" t="n">
        <v>-2.9438009824077</v>
      </c>
      <c r="AD221" s="9" t="n">
        <v>1909.673481481484</v>
      </c>
      <c r="AE221" s="9" t="n">
        <v>8956.288076388893</v>
      </c>
      <c r="AF221" s="9" t="n">
        <v>8956.288076388893</v>
      </c>
      <c r="AG221" s="9" t="n">
        <v>8956.288076388893</v>
      </c>
      <c r="AH221" s="8" t="inlineStr">
        <is>
          <t>Moderate (5.0-5.9)</t>
        </is>
      </c>
    </row>
    <row r="222">
      <c r="A222" s="8" t="inlineStr">
        <is>
          <t>1990-07-23 22:20:42.000</t>
        </is>
      </c>
      <c r="B222" s="8" t="n">
        <v>1990</v>
      </c>
      <c r="C222" s="9" t="n">
        <v>16.1</v>
      </c>
      <c r="D222" s="9" t="n">
        <v>119.64</v>
      </c>
      <c r="E222" s="8" t="n">
        <v>18</v>
      </c>
      <c r="F222" s="9" t="n">
        <v>5.1</v>
      </c>
      <c r="G222" s="9" t="n">
        <v>32</v>
      </c>
      <c r="H222" s="9" t="n">
        <v>5.4</v>
      </c>
      <c r="I222" s="9" t="n">
        <v>4.615625</v>
      </c>
      <c r="J222" s="9" t="n">
        <v>1.725460568900413</v>
      </c>
      <c r="K222" s="9" t="n">
        <v>9.244264956423851</v>
      </c>
      <c r="L222" s="9" t="n">
        <v>0.3767046526534483</v>
      </c>
      <c r="M222" s="9" t="n">
        <v>0.0973874829494521</v>
      </c>
      <c r="N222" s="9" t="n">
        <v>1.384707043749499</v>
      </c>
      <c r="O222" s="9" t="n">
        <v>7.549515790780872</v>
      </c>
      <c r="P222" s="9" t="n">
        <v>0.2426088889274028</v>
      </c>
      <c r="Q222" s="9" t="n">
        <v>0.2093179787721712</v>
      </c>
      <c r="R222" s="9" t="n">
        <v>0.0424362729338074</v>
      </c>
      <c r="S222" s="9" t="n">
        <v>-0.0520671537413068</v>
      </c>
      <c r="T222" s="9" t="n">
        <v>126855840817.587</v>
      </c>
      <c r="U222" s="9" t="n">
        <v>6.662209621098788e-06</v>
      </c>
      <c r="V222" s="9" t="n">
        <v>7.01259679292264e-05</v>
      </c>
      <c r="W222" s="9" t="n">
        <v>0.5366563145999494</v>
      </c>
      <c r="X222" s="9" t="n">
        <v>26.98227028015769</v>
      </c>
      <c r="Y222" s="9" t="n">
        <v>1.8370666633396</v>
      </c>
      <c r="Z222" s="9" t="n">
        <v>17.59335723068182</v>
      </c>
      <c r="AA222" s="9" t="n">
        <v>12.25378603556142</v>
      </c>
      <c r="AB222" s="9" t="n">
        <v>13.59014847796626</v>
      </c>
      <c r="AC222" s="9" t="n">
        <v>5.82322313899542</v>
      </c>
      <c r="AD222" s="9" t="n">
        <v>8963.325196759262</v>
      </c>
      <c r="AE222" s="9" t="n">
        <v>8963.325196759262</v>
      </c>
      <c r="AF222" s="9" t="n">
        <v>8963.325196759262</v>
      </c>
      <c r="AG222" s="9" t="n">
        <v>8963.325196759262</v>
      </c>
      <c r="AH222" s="8" t="inlineStr">
        <is>
          <t>Moderate (5.0-5.9)</t>
        </is>
      </c>
    </row>
    <row r="223">
      <c r="A223" s="8" t="inlineStr">
        <is>
          <t>1990-08-03 08:17:20.200</t>
        </is>
      </c>
      <c r="B223" s="8" t="n">
        <v>1990</v>
      </c>
      <c r="C223" s="9" t="n">
        <v>17.21</v>
      </c>
      <c r="D223" s="9" t="n">
        <v>120.63</v>
      </c>
      <c r="E223" s="8" t="n">
        <v>2</v>
      </c>
      <c r="F223" s="9" t="n">
        <v>5.1</v>
      </c>
      <c r="G223" s="9" t="n">
        <v>19</v>
      </c>
      <c r="H223" s="9" t="n">
        <v>5.5</v>
      </c>
      <c r="I223" s="9" t="n">
        <v>4.626315789473685</v>
      </c>
      <c r="J223" s="9" t="n">
        <v>0.9332112906160156</v>
      </c>
      <c r="K223" s="9" t="n">
        <v>5.270100353350117</v>
      </c>
      <c r="L223" s="9" t="n">
        <v>0.1972591471007557</v>
      </c>
      <c r="M223" s="9" t="n">
        <v>0.09293070700381351</v>
      </c>
      <c r="N223" s="9" t="n">
        <v>0.9459879803833228</v>
      </c>
      <c r="O223" s="9" t="n">
        <v>5.298338596883178</v>
      </c>
      <c r="P223" s="9" t="n">
        <v>0.202697512285387</v>
      </c>
      <c r="Q223" s="9" t="n">
        <v>0.1143121892621545</v>
      </c>
      <c r="R223" s="9" t="n">
        <v>-0.147274530799244</v>
      </c>
      <c r="S223" s="9" t="n">
        <v>-0.1008519206937954</v>
      </c>
      <c r="T223" s="9" t="n">
        <v>141045931839.1334</v>
      </c>
      <c r="U223" s="9" t="n">
        <v>0.001586229886124</v>
      </c>
      <c r="V223" s="9" t="n">
        <v>0.001452232189345</v>
      </c>
      <c r="W223" s="9" t="n">
        <v>0.4723774929733301</v>
      </c>
      <c r="X223" s="9" t="n">
        <v>11.10689099985679</v>
      </c>
      <c r="Y223" s="9" t="n">
        <v>1.28623057722023</v>
      </c>
      <c r="Z223" s="9" t="n">
        <v>9.210881077868317</v>
      </c>
      <c r="AA223" s="9" t="n">
        <v>5.550120955797875</v>
      </c>
      <c r="AB223" s="9" t="n">
        <v>7.271998015586674</v>
      </c>
      <c r="AC223" s="9" t="n">
        <v>0.0521540956947844</v>
      </c>
      <c r="AD223" s="9" t="n">
        <v>16.46014351851409</v>
      </c>
      <c r="AE223" s="9" t="n">
        <v>16.46014351851409</v>
      </c>
      <c r="AF223" s="9" t="n">
        <v>14827.21771064814</v>
      </c>
      <c r="AG223" s="9" t="n">
        <v>43535.17270833333</v>
      </c>
      <c r="AH223" s="8" t="inlineStr">
        <is>
          <t>Moderate (5.0-5.9)</t>
        </is>
      </c>
    </row>
    <row r="224">
      <c r="A224" s="8" t="inlineStr">
        <is>
          <t>1990-08-12 21:09:38.300</t>
        </is>
      </c>
      <c r="B224" s="8" t="n">
        <v>1990</v>
      </c>
      <c r="C224" s="9" t="n">
        <v>16.36</v>
      </c>
      <c r="D224" s="9" t="n">
        <v>120.16</v>
      </c>
      <c r="E224" s="8" t="n">
        <v>19</v>
      </c>
      <c r="F224" s="9" t="n">
        <v>5.5</v>
      </c>
      <c r="G224" s="9" t="n">
        <v>20</v>
      </c>
      <c r="H224" s="9" t="n">
        <v>4.9</v>
      </c>
      <c r="I224" s="9" t="n">
        <v>4.410000000000001</v>
      </c>
      <c r="J224" s="9" t="n">
        <v>2.385606273598288</v>
      </c>
      <c r="K224" s="9" t="n">
        <v>11.71029386339966</v>
      </c>
      <c r="L224" s="9" t="n">
        <v>0.7163160878448385</v>
      </c>
      <c r="M224" s="9" t="n">
        <v>0.0360667066065068</v>
      </c>
      <c r="N224" s="9" t="n">
        <v>2.895296546021689</v>
      </c>
      <c r="O224" s="9" t="n">
        <v>14.0850150210216</v>
      </c>
      <c r="P224" s="9" t="n">
        <v>1.055099150156232</v>
      </c>
      <c r="Q224" s="9" t="n">
        <v>0.5942162012822808</v>
      </c>
      <c r="R224" s="9" t="n">
        <v>-0.0087286502380967</v>
      </c>
      <c r="S224" s="9" t="n">
        <v>0.0352081566997846</v>
      </c>
      <c r="T224" s="9" t="n">
        <v>53165128927.4228</v>
      </c>
      <c r="U224" s="9" t="n">
        <v>6.96917193762679e-08</v>
      </c>
      <c r="V224" s="9" t="n">
        <v>2.061153622438413e-09</v>
      </c>
      <c r="W224" s="9" t="n">
        <v>0</v>
      </c>
      <c r="X224" s="9" t="n">
        <v>6.944985937374507</v>
      </c>
      <c r="Y224" s="9" t="n">
        <v>2.72957664680104</v>
      </c>
      <c r="Z224" s="9" t="n">
        <v>10.98211178177381</v>
      </c>
      <c r="AA224" s="9" t="n">
        <v>11.44662908232863</v>
      </c>
      <c r="AB224" s="9" t="n">
        <v>10.45584002489833</v>
      </c>
      <c r="AC224" s="9" t="n">
        <v>0.8910846612002463</v>
      </c>
      <c r="AD224" s="9" t="n">
        <v>24.99644907407492</v>
      </c>
      <c r="AE224" s="9" t="n">
        <v>25.99646412037328</v>
      </c>
      <c r="AF224" s="9" t="n">
        <v>8983.275848379635</v>
      </c>
      <c r="AG224" s="9" t="n">
        <v>8983.275848379635</v>
      </c>
      <c r="AH224" s="8" t="inlineStr">
        <is>
          <t>Moderate (5.0-5.9)</t>
        </is>
      </c>
    </row>
    <row r="225">
      <c r="A225" s="8" t="inlineStr">
        <is>
          <t>1990-09-03 06:42:13.000</t>
        </is>
      </c>
      <c r="B225" s="8" t="n">
        <v>1990</v>
      </c>
      <c r="C225" s="9" t="n">
        <v>17.27</v>
      </c>
      <c r="D225" s="9" t="n">
        <v>120.86</v>
      </c>
      <c r="E225" s="8" t="n">
        <v>4</v>
      </c>
      <c r="F225" s="9" t="n">
        <v>5.3</v>
      </c>
      <c r="G225" s="9" t="n">
        <v>6</v>
      </c>
      <c r="H225" s="9" t="n">
        <v>4.7</v>
      </c>
      <c r="I225" s="9" t="n">
        <v>4.35</v>
      </c>
      <c r="J225" s="9" t="n">
        <v>1.43136376415899</v>
      </c>
      <c r="K225" s="9" t="n">
        <v>6.782500438435308</v>
      </c>
      <c r="L225" s="9" t="n">
        <v>0.5126033290794851</v>
      </c>
      <c r="M225" s="9" t="n">
        <v>0.07137846678465121</v>
      </c>
      <c r="N225" s="9" t="n">
        <v>2.004436070322708</v>
      </c>
      <c r="O225" s="9" t="n">
        <v>9.296639964139578</v>
      </c>
      <c r="P225" s="9" t="n">
        <v>1.005230839696043</v>
      </c>
      <c r="Q225" s="9" t="n">
        <v>0.2760792627364951</v>
      </c>
      <c r="R225" s="9" t="n">
        <v>-0.0384882922619089</v>
      </c>
      <c r="S225" s="9" t="n">
        <v>0.0619673374552434</v>
      </c>
      <c r="T225" s="9" t="n">
        <v>25506668580.93944</v>
      </c>
      <c r="U225" s="9" t="n">
        <v>5.080526342529006e-05</v>
      </c>
      <c r="V225" s="9" t="n">
        <v>9.698214581497943e-07</v>
      </c>
      <c r="W225" s="9" t="n">
        <v>-1.044465935734187</v>
      </c>
      <c r="X225" s="9" t="n">
        <v>1.913693460882035</v>
      </c>
      <c r="Y225" s="9" t="n">
        <v>0.5633947902413831</v>
      </c>
      <c r="Z225" s="9" t="n">
        <v>6.39235545169517</v>
      </c>
      <c r="AA225" s="9" t="n">
        <v>4.052256512951034</v>
      </c>
      <c r="AB225" s="9" t="n">
        <v>8.040907654569814</v>
      </c>
      <c r="AC225" s="9" t="n">
        <v>0.221881538594536</v>
      </c>
      <c r="AD225" s="9" t="n">
        <v>47.39408796296266</v>
      </c>
      <c r="AE225" s="9" t="n">
        <v>47.39408796296266</v>
      </c>
      <c r="AF225" s="9" t="n">
        <v>14858.15165509259</v>
      </c>
      <c r="AG225" s="9" t="n">
        <v>43535.17270833333</v>
      </c>
      <c r="AH225" s="8" t="inlineStr">
        <is>
          <t>Moderate (5.0-5.9)</t>
        </is>
      </c>
    </row>
    <row r="226">
      <c r="A226" s="8" t="inlineStr">
        <is>
          <t>1990-10-19 18:48:55.700</t>
        </is>
      </c>
      <c r="B226" s="8" t="n">
        <v>1990</v>
      </c>
      <c r="C226" s="9" t="n">
        <v>10.88</v>
      </c>
      <c r="D226" s="9" t="n">
        <v>125.99</v>
      </c>
      <c r="E226" s="8" t="n">
        <v>33</v>
      </c>
      <c r="F226" s="9" t="n">
        <v>5</v>
      </c>
      <c r="G226" s="9" t="n">
        <v>3</v>
      </c>
      <c r="H226" s="9" t="n">
        <v>4.9</v>
      </c>
      <c r="I226" s="9" t="n">
        <v>4.600000000000001</v>
      </c>
      <c r="J226" s="9" t="n">
        <v>0.3180808364797751</v>
      </c>
      <c r="K226" s="9" t="n">
        <v>1.718511677977602</v>
      </c>
      <c r="L226" s="9" t="n">
        <v>0.0585624205128728</v>
      </c>
      <c r="M226" s="9" t="n">
        <v>0.0860141913557106</v>
      </c>
      <c r="N226" s="9" t="n">
        <v>0.7896263307331841</v>
      </c>
      <c r="O226" s="9" t="n">
        <v>3.714589210725717</v>
      </c>
      <c r="P226" s="9" t="n">
        <v>0.3609003080423367</v>
      </c>
      <c r="Q226" s="9" t="n">
        <v>0.1947766025316801</v>
      </c>
      <c r="R226" s="9" t="n">
        <v>-0.5027513791666989</v>
      </c>
      <c r="S226" s="9" t="n">
        <v>0.1957632412325392</v>
      </c>
      <c r="T226" s="9" t="n">
        <v>33484288994.06338</v>
      </c>
      <c r="U226" s="9" t="n">
        <v>0.1111111111111109</v>
      </c>
      <c r="V226" s="9" t="n">
        <v>0.0042768203492089</v>
      </c>
      <c r="W226" s="9" t="n">
        <v>-0.6123724356957945</v>
      </c>
      <c r="X226" s="9" t="n">
        <v>4.047396061842092</v>
      </c>
      <c r="Y226" s="9" t="n">
        <v>57.8253073915217</v>
      </c>
      <c r="Z226" s="9" t="n">
        <v>69.1977448485264</v>
      </c>
      <c r="AA226" s="9" t="n">
        <v>10.32740937073981</v>
      </c>
      <c r="AB226" s="9" t="n">
        <v>66.42116362056899</v>
      </c>
      <c r="AC226" s="9" t="n">
        <v>-0.7342556207515075</v>
      </c>
      <c r="AD226" s="9" t="n">
        <v>8462.139435185181</v>
      </c>
      <c r="AE226" s="9" t="n">
        <v>12303.18278587963</v>
      </c>
      <c r="AF226" s="9" t="n">
        <v>43535.17270833333</v>
      </c>
      <c r="AG226" s="9" t="n">
        <v>43535.17270833333</v>
      </c>
      <c r="AH226" s="8" t="inlineStr">
        <is>
          <t>Moderate (5.0-5.9)</t>
        </is>
      </c>
    </row>
    <row r="227">
      <c r="A227" s="8" t="inlineStr">
        <is>
          <t>1990-10-25 11:04:53.500</t>
        </is>
      </c>
      <c r="B227" s="8" t="n">
        <v>1990</v>
      </c>
      <c r="C227" s="9" t="n">
        <v>8.51</v>
      </c>
      <c r="D227" s="9" t="n">
        <v>126.31</v>
      </c>
      <c r="E227" s="8" t="n">
        <v>4</v>
      </c>
      <c r="F227" s="9" t="n">
        <v>5.6</v>
      </c>
      <c r="G227" s="9" t="n">
        <v>3</v>
      </c>
      <c r="H227" s="9" t="n">
        <v>6.1</v>
      </c>
      <c r="I227" s="9" t="n">
        <v>4.8</v>
      </c>
      <c r="J227" s="9" t="n">
        <v>0.09714912348275891</v>
      </c>
      <c r="K227" s="9" t="n">
        <v>0.5325153512089109</v>
      </c>
      <c r="L227" s="9" t="n">
        <v>0.0141236466041044</v>
      </c>
      <c r="M227" s="9" t="n">
        <v>0.1041050581056015</v>
      </c>
      <c r="N227" s="9" t="n">
        <v>0.5790593092043358</v>
      </c>
      <c r="O227" s="9" t="n">
        <v>2.85126442245744</v>
      </c>
      <c r="P227" s="9" t="n">
        <v>0.50178210025707</v>
      </c>
      <c r="Q227" s="9" t="n">
        <v>0.3390489470731836</v>
      </c>
      <c r="R227" s="9" t="n">
        <v>0.6185779128165123</v>
      </c>
      <c r="S227" s="9" t="n">
        <v>1.176040783498917</v>
      </c>
      <c r="T227" s="9" t="n">
        <v>309127085090.9233</v>
      </c>
      <c r="U227" s="9" t="n">
        <v>0.5111550191049384</v>
      </c>
      <c r="V227" s="9" t="n">
        <v>0.0183156388887341</v>
      </c>
      <c r="W227" s="9" t="n">
        <v>-0.6123724356957945</v>
      </c>
      <c r="X227" s="9" t="n">
        <v>0.592855426587882</v>
      </c>
      <c r="Y227" s="9" t="n">
        <v>16.4062723570707</v>
      </c>
      <c r="Z227" s="9" t="n">
        <v>34.90261629496963</v>
      </c>
      <c r="AA227" s="9" t="n">
        <v>31.19706846255582</v>
      </c>
      <c r="AB227" s="9" t="n">
        <v>17.45455195607177</v>
      </c>
      <c r="AC227" s="9" t="n">
        <v>-5.776947293494215</v>
      </c>
      <c r="AD227" s="9" t="n">
        <v>0.0022546296313521</v>
      </c>
      <c r="AE227" s="9" t="n">
        <v>313.6813483796359</v>
      </c>
      <c r="AF227" s="9" t="n">
        <v>24162.33329282408</v>
      </c>
      <c r="AG227" s="9" t="n">
        <v>25184.68663773149</v>
      </c>
      <c r="AH227" s="8" t="inlineStr">
        <is>
          <t>Moderate (5.0-5.9)</t>
        </is>
      </c>
    </row>
    <row r="228">
      <c r="A228" s="8" t="inlineStr">
        <is>
          <t>1991-02-18 14:07:52.400</t>
        </is>
      </c>
      <c r="B228" s="8" t="n">
        <v>1991</v>
      </c>
      <c r="C228" s="9" t="n">
        <v>8.76</v>
      </c>
      <c r="D228" s="9" t="n">
        <v>126.86</v>
      </c>
      <c r="E228" s="8" t="n">
        <v>33</v>
      </c>
      <c r="F228" s="9" t="n">
        <v>5.8</v>
      </c>
      <c r="G228" s="9" t="n">
        <v>4</v>
      </c>
      <c r="H228" s="9" t="n">
        <v>6.2</v>
      </c>
      <c r="I228" s="9" t="n">
        <v>4.875</v>
      </c>
      <c r="J228" s="9" t="n">
        <v>0.2897220359818366</v>
      </c>
      <c r="K228" s="9" t="n">
        <v>1.646745698808159</v>
      </c>
      <c r="L228" s="9" t="n">
        <v>0.0910232806016356</v>
      </c>
      <c r="M228" s="9" t="n">
        <v>0.1097357146718941</v>
      </c>
      <c r="N228" s="9" t="n">
        <v>0.4695075480035156</v>
      </c>
      <c r="O228" s="9" t="n">
        <v>2.480090183342025</v>
      </c>
      <c r="P228" s="9" t="n">
        <v>0.2390422038679297</v>
      </c>
      <c r="Q228" s="9" t="n">
        <v>0.1849604361145566</v>
      </c>
      <c r="R228" s="9" t="n">
        <v>0.5161185747314114</v>
      </c>
      <c r="S228" s="9" t="n">
        <v>0.9176777159641016</v>
      </c>
      <c r="T228" s="9" t="n">
        <v>380949123085.9273</v>
      </c>
      <c r="U228" s="9" t="n">
        <v>0.1351555524502434</v>
      </c>
      <c r="V228" s="9" t="n">
        <v>0.0390370828135297</v>
      </c>
      <c r="W228" s="9" t="n">
        <v>-0.9999999999999998</v>
      </c>
      <c r="X228" s="9" t="n">
        <v>3.272978212431767</v>
      </c>
      <c r="Y228" s="9" t="n">
        <v>11.9583007871975</v>
      </c>
      <c r="Z228" s="9" t="n">
        <v>38.52169601067715</v>
      </c>
      <c r="AA228" s="9" t="n">
        <v>18.56978612415725</v>
      </c>
      <c r="AB228" s="9" t="n">
        <v>54.24433623317307</v>
      </c>
      <c r="AC228" s="9" t="n">
        <v>-92.68232634381984</v>
      </c>
      <c r="AD228" s="9" t="n">
        <v>0.4794317129599221</v>
      </c>
      <c r="AE228" s="9" t="n">
        <v>429.8084189814836</v>
      </c>
      <c r="AF228" s="9" t="n">
        <v>14215.13246990741</v>
      </c>
      <c r="AG228" s="9" t="n">
        <v>14215.13246990741</v>
      </c>
      <c r="AH228" s="8" t="inlineStr">
        <is>
          <t>Moderate (5.0-5.9)</t>
        </is>
      </c>
    </row>
    <row r="229">
      <c r="A229" s="8" t="inlineStr">
        <is>
          <t>1991-02-19 15:50:04.200</t>
        </is>
      </c>
      <c r="B229" s="8" t="n">
        <v>1991</v>
      </c>
      <c r="C229" s="9" t="n">
        <v>9.1</v>
      </c>
      <c r="D229" s="9" t="n">
        <v>126.51</v>
      </c>
      <c r="E229" s="8" t="n">
        <v>8</v>
      </c>
      <c r="F229" s="9" t="n">
        <v>5.2</v>
      </c>
      <c r="G229" s="9" t="n">
        <v>9</v>
      </c>
      <c r="H229" s="9" t="n">
        <v>6.2</v>
      </c>
      <c r="I229" s="9" t="n">
        <v>4.744444444444444</v>
      </c>
      <c r="J229" s="9" t="n">
        <v>0.2977219737336077</v>
      </c>
      <c r="K229" s="9" t="n">
        <v>1.875648434521728</v>
      </c>
      <c r="L229" s="9" t="n">
        <v>0.0524310065685075</v>
      </c>
      <c r="M229" s="9" t="n">
        <v>0.08642108368433581</v>
      </c>
      <c r="N229" s="9" t="n">
        <v>0.4136137922888113</v>
      </c>
      <c r="O229" s="9" t="n">
        <v>2.369098957108038</v>
      </c>
      <c r="P229" s="9" t="n">
        <v>0.1011943909507063</v>
      </c>
      <c r="Q229" s="9" t="n">
        <v>0.1879877487782709</v>
      </c>
      <c r="R229" s="9" t="n">
        <v>-0.0999999999999987</v>
      </c>
      <c r="S229" s="9" t="n">
        <v>0.4721954604120579</v>
      </c>
      <c r="T229" s="9" t="n">
        <v>416192608617.2264</v>
      </c>
      <c r="U229" s="9" t="n">
        <v>0.127889261285143</v>
      </c>
      <c r="V229" s="9" t="n">
        <v>0.0574326192676173</v>
      </c>
      <c r="W229" s="9" t="n">
        <v>-1.441153384245784</v>
      </c>
      <c r="X229" s="9" t="n">
        <v>7.79923204709599</v>
      </c>
      <c r="Y229" s="9" t="n">
        <v>0.7733155875537689</v>
      </c>
      <c r="Z229" s="9" t="n">
        <v>31.56948423163389</v>
      </c>
      <c r="AA229" s="9" t="n">
        <v>18.97432489028193</v>
      </c>
      <c r="AB229" s="9" t="n">
        <v>48.176115779511</v>
      </c>
      <c r="AC229" s="9" t="n">
        <v>-8.515650447653844</v>
      </c>
      <c r="AD229" s="9" t="n">
        <v>1.550401620363118</v>
      </c>
      <c r="AE229" s="9" t="n">
        <v>430.8793888888868</v>
      </c>
      <c r="AF229" s="9" t="n">
        <v>14216.20343981481</v>
      </c>
      <c r="AG229" s="9" t="n">
        <v>14216.20343981481</v>
      </c>
      <c r="AH229" s="8" t="inlineStr">
        <is>
          <t>Moderate (5.0-5.9)</t>
        </is>
      </c>
    </row>
    <row r="230">
      <c r="A230" s="8" t="inlineStr">
        <is>
          <t>1991-02-20 12:26:47.900</t>
        </is>
      </c>
      <c r="B230" s="8" t="n">
        <v>1991</v>
      </c>
      <c r="C230" s="9" t="n">
        <v>8.33</v>
      </c>
      <c r="D230" s="9" t="n">
        <v>126.32</v>
      </c>
      <c r="E230" s="8" t="n">
        <v>52</v>
      </c>
      <c r="F230" s="9" t="n">
        <v>5.2</v>
      </c>
      <c r="G230" s="9" t="n">
        <v>10</v>
      </c>
      <c r="H230" s="9" t="n">
        <v>6.2</v>
      </c>
      <c r="I230" s="9" t="n">
        <v>4.77</v>
      </c>
      <c r="J230" s="9" t="n">
        <v>0.4513607688368856</v>
      </c>
      <c r="K230" s="9" t="n">
        <v>2.77841283541211</v>
      </c>
      <c r="L230" s="9" t="n">
        <v>0.112857660969405</v>
      </c>
      <c r="M230" s="9" t="n">
        <v>0.0646588155007987</v>
      </c>
      <c r="N230" s="9" t="n">
        <v>0.4641315073775209</v>
      </c>
      <c r="O230" s="9" t="n">
        <v>2.794450370999845</v>
      </c>
      <c r="P230" s="9" t="n">
        <v>0.119334366114594</v>
      </c>
      <c r="Q230" s="9" t="n">
        <v>0.0803795062878423</v>
      </c>
      <c r="R230" s="9" t="n">
        <v>0.0443634732105326</v>
      </c>
      <c r="S230" s="9" t="n">
        <v>0.1791840748125279</v>
      </c>
      <c r="T230" s="9" t="n">
        <v>418911322652.9304</v>
      </c>
      <c r="U230" s="9" t="n">
        <v>0.0442504501960272</v>
      </c>
      <c r="V230" s="9" t="n">
        <v>0.0405140330335699</v>
      </c>
      <c r="W230" s="9" t="n">
        <v>-1.986798535597566</v>
      </c>
      <c r="X230" s="9" t="n">
        <v>7.479798385774066</v>
      </c>
      <c r="Y230" s="9" t="n">
        <v>0.7733155875537689</v>
      </c>
      <c r="Z230" s="9" t="n">
        <v>33.42834685286524</v>
      </c>
      <c r="AA230" s="9" t="n">
        <v>19.39609497110624</v>
      </c>
      <c r="AB230" s="9" t="n">
        <v>48.32422882327371</v>
      </c>
      <c r="AC230" s="9" t="n">
        <v>-1.940472693478868</v>
      </c>
      <c r="AD230" s="9" t="n">
        <v>2.409240740737005</v>
      </c>
      <c r="AE230" s="9" t="n">
        <v>431.7382280092606</v>
      </c>
      <c r="AF230" s="9" t="n">
        <v>24280.3901724537</v>
      </c>
      <c r="AG230" s="9" t="n">
        <v>25302.74351736111</v>
      </c>
      <c r="AH230" s="8" t="inlineStr">
        <is>
          <t>Moderate (5.0-5.9)</t>
        </is>
      </c>
    </row>
    <row r="231">
      <c r="A231" s="8" t="inlineStr">
        <is>
          <t>1991-05-05 15:05:41.700</t>
        </is>
      </c>
      <c r="B231" s="8" t="n">
        <v>1991</v>
      </c>
      <c r="C231" s="9" t="n">
        <v>10.33</v>
      </c>
      <c r="D231" s="9" t="n">
        <v>125.17</v>
      </c>
      <c r="E231" s="8" t="n">
        <v>30</v>
      </c>
      <c r="F231" s="9" t="n">
        <v>5.1</v>
      </c>
      <c r="G231" s="9" t="n">
        <v>13</v>
      </c>
      <c r="H231" s="9" t="n">
        <v>4.6</v>
      </c>
      <c r="I231" s="9" t="n">
        <v>4.253846153846154</v>
      </c>
      <c r="J231" s="9" t="n">
        <v>2.318758762624413</v>
      </c>
      <c r="K231" s="9" t="n">
        <v>10.78724180952656</v>
      </c>
      <c r="L231" s="9" t="n">
        <v>0.6804389764091463</v>
      </c>
      <c r="M231" s="9" t="n">
        <v>0.137800617194867</v>
      </c>
      <c r="N231" s="9" t="n">
        <v>1.888236877840229</v>
      </c>
      <c r="O231" s="9" t="n">
        <v>8.818388579049003</v>
      </c>
      <c r="P231" s="9" t="n">
        <v>0.4512227591377873</v>
      </c>
      <c r="Q231" s="9" t="n">
        <v>0.1305530646664031</v>
      </c>
      <c r="R231" s="9" t="n">
        <v>-0.0521621754724348</v>
      </c>
      <c r="S231" s="9" t="n">
        <v>-0.0701707198598429</v>
      </c>
      <c r="T231" s="9" t="n">
        <v>28584787863.57008</v>
      </c>
      <c r="U231" s="9" t="n">
        <v>1.105919999999996e-07</v>
      </c>
      <c r="V231" s="9" t="n">
        <v>2.164160003657962e-06</v>
      </c>
      <c r="W231" s="9" t="n">
        <v>-1.930787708804515</v>
      </c>
      <c r="X231" s="9" t="n">
        <v>14.65840395922982</v>
      </c>
      <c r="Y231" s="9" t="n">
        <v>3.09560365363344</v>
      </c>
      <c r="Z231" s="9" t="n">
        <v>14.27477399522507</v>
      </c>
      <c r="AA231" s="9" t="n">
        <v>10.628605000134</v>
      </c>
      <c r="AB231" s="9" t="n">
        <v>18.68768138964743</v>
      </c>
      <c r="AC231" s="9" t="n">
        <v>2.12793593315183</v>
      </c>
      <c r="AD231" s="9" t="n">
        <v>451.304648148147</v>
      </c>
      <c r="AE231" s="9" t="n">
        <v>451.304648148147</v>
      </c>
      <c r="AF231" s="9" t="n">
        <v>15584.64643171296</v>
      </c>
      <c r="AG231" s="9" t="n">
        <v>43535.17270833333</v>
      </c>
      <c r="AH231" s="8" t="inlineStr">
        <is>
          <t>Moderate (5.0-5.9)</t>
        </is>
      </c>
    </row>
    <row r="232">
      <c r="A232" s="8" t="inlineStr">
        <is>
          <t>1991-05-05 16:02:05.300</t>
        </is>
      </c>
      <c r="B232" s="8" t="n">
        <v>1991</v>
      </c>
      <c r="C232" s="9" t="n">
        <v>9</v>
      </c>
      <c r="D232" s="9" t="n">
        <v>125.78</v>
      </c>
      <c r="E232" s="8" t="n">
        <v>67</v>
      </c>
      <c r="F232" s="9" t="n">
        <v>5</v>
      </c>
      <c r="G232" s="9" t="n">
        <v>5</v>
      </c>
      <c r="H232" s="9" t="n">
        <v>4.9</v>
      </c>
      <c r="I232" s="9" t="n">
        <v>4.38</v>
      </c>
      <c r="J232" s="9" t="n">
        <v>0.8878391448165337</v>
      </c>
      <c r="K232" s="9" t="n">
        <v>4.256217328893098</v>
      </c>
      <c r="L232" s="9" t="n">
        <v>0.2889437285321592</v>
      </c>
      <c r="M232" s="9" t="n">
        <v>0.0980787659065486</v>
      </c>
      <c r="N232" s="9" t="n">
        <v>0.9650988486738924</v>
      </c>
      <c r="O232" s="9" t="n">
        <v>4.530536419150011</v>
      </c>
      <c r="P232" s="9" t="n">
        <v>0.3414194743588591</v>
      </c>
      <c r="Q232" s="9" t="n">
        <v>0.115073244368561</v>
      </c>
      <c r="R232" s="9" t="n">
        <v>0.1060940838865382</v>
      </c>
      <c r="S232" s="9" t="n">
        <v>0.2056244700993508</v>
      </c>
      <c r="T232" s="9" t="n">
        <v>30159569416.88797</v>
      </c>
      <c r="U232" s="9" t="n">
        <v>0.0021701140841007</v>
      </c>
      <c r="V232" s="9" t="n">
        <v>0.0012726338013398</v>
      </c>
      <c r="W232" s="9" t="n">
        <v>-0.5222329678670936</v>
      </c>
      <c r="X232" s="9" t="n">
        <v>3.659300885936589</v>
      </c>
      <c r="Y232" s="9" t="n">
        <v>1.82013651241377</v>
      </c>
      <c r="Z232" s="9" t="n">
        <v>34.26091633981005</v>
      </c>
      <c r="AA232" s="9" t="n">
        <v>22.65588392408748</v>
      </c>
      <c r="AB232" s="9" t="n">
        <v>26.74663357165388</v>
      </c>
      <c r="AC232" s="9" t="n">
        <v>4.285084836806401</v>
      </c>
      <c r="AD232" s="9" t="n">
        <v>76.5587476851797</v>
      </c>
      <c r="AE232" s="9" t="n">
        <v>10646.86318634259</v>
      </c>
      <c r="AF232" s="9" t="n">
        <v>14291.21178587963</v>
      </c>
      <c r="AG232" s="9" t="n">
        <v>14291.21178587963</v>
      </c>
      <c r="AH232" s="8" t="inlineStr">
        <is>
          <t>Moderate (5.0-5.9)</t>
        </is>
      </c>
    </row>
    <row r="233">
      <c r="A233" s="8" t="inlineStr">
        <is>
          <t>1991-05-06 00:10:20.400</t>
        </is>
      </c>
      <c r="B233" s="8" t="n">
        <v>1991</v>
      </c>
      <c r="C233" s="9" t="n">
        <v>10.27</v>
      </c>
      <c r="D233" s="9" t="n">
        <v>125.4</v>
      </c>
      <c r="E233" s="8" t="n">
        <v>10</v>
      </c>
      <c r="F233" s="9" t="n">
        <v>5.4</v>
      </c>
      <c r="G233" s="9" t="n">
        <v>14</v>
      </c>
      <c r="H233" s="9" t="n">
        <v>5.1</v>
      </c>
      <c r="I233" s="9" t="n">
        <v>4.314285714285715</v>
      </c>
      <c r="J233" s="9" t="n">
        <v>1.15870145516757</v>
      </c>
      <c r="K233" s="9" t="n">
        <v>5.719162671260825</v>
      </c>
      <c r="L233" s="9" t="n">
        <v>0.2440859383276461</v>
      </c>
      <c r="M233" s="9" t="n">
        <v>0.1526894956905156</v>
      </c>
      <c r="N233" s="9" t="n">
        <v>1.302883445709757</v>
      </c>
      <c r="O233" s="9" t="n">
        <v>6.380550066935597</v>
      </c>
      <c r="P233" s="9" t="n">
        <v>0.308610563771915</v>
      </c>
      <c r="Q233" s="9" t="n">
        <v>0.1373705644659719</v>
      </c>
      <c r="R233" s="9" t="n">
        <v>0.1641620015625786</v>
      </c>
      <c r="S233" s="9" t="n">
        <v>0.2027468435906483</v>
      </c>
      <c r="T233" s="9" t="n">
        <v>48276819961.9808</v>
      </c>
      <c r="U233" s="9" t="n">
        <v>0.0003341147391143</v>
      </c>
      <c r="V233" s="9" t="n">
        <v>0.0001234098040866</v>
      </c>
      <c r="W233" s="9" t="n">
        <v>-2</v>
      </c>
      <c r="X233" s="9" t="n">
        <v>12.99108061644567</v>
      </c>
      <c r="Y233" s="9" t="n">
        <v>3.09560365363344</v>
      </c>
      <c r="Z233" s="9" t="n">
        <v>13.83496693635252</v>
      </c>
      <c r="AA233" s="9" t="n">
        <v>10.34337854456691</v>
      </c>
      <c r="AB233" s="9" t="n">
        <v>13.05834738781093</v>
      </c>
      <c r="AC233" s="9" t="n">
        <v>0.9028627183760328</v>
      </c>
      <c r="AD233" s="9" t="n">
        <v>451.7047245370413</v>
      </c>
      <c r="AE233" s="9" t="n">
        <v>451.7047245370413</v>
      </c>
      <c r="AF233" s="9" t="n">
        <v>15585.02465740741</v>
      </c>
      <c r="AG233" s="9" t="n">
        <v>43535.17270833333</v>
      </c>
      <c r="AH233" s="8" t="inlineStr">
        <is>
          <t>Moderate (5.0-5.9)</t>
        </is>
      </c>
    </row>
    <row r="234">
      <c r="A234" s="8" t="inlineStr">
        <is>
          <t>1991-05-06 00:26:07.900</t>
        </is>
      </c>
      <c r="B234" s="8" t="n">
        <v>1991</v>
      </c>
      <c r="C234" s="9" t="n">
        <v>10.23</v>
      </c>
      <c r="D234" s="9" t="n">
        <v>125.42</v>
      </c>
      <c r="E234" s="8" t="n">
        <v>19</v>
      </c>
      <c r="F234" s="9" t="n">
        <v>5.7</v>
      </c>
      <c r="G234" s="9" t="n">
        <v>15</v>
      </c>
      <c r="H234" s="9" t="n">
        <v>5.4</v>
      </c>
      <c r="I234" s="9" t="n">
        <v>4.386666666666668</v>
      </c>
      <c r="J234" s="9" t="n">
        <v>0.7928394099970503</v>
      </c>
      <c r="K234" s="9" t="n">
        <v>4.2095575816027</v>
      </c>
      <c r="L234" s="9" t="n">
        <v>0.1492292631384588</v>
      </c>
      <c r="M234" s="9" t="n">
        <v>0.0983200714532185</v>
      </c>
      <c r="N234" s="9" t="n">
        <v>0.9650988486738924</v>
      </c>
      <c r="O234" s="9" t="n">
        <v>4.995023089311995</v>
      </c>
      <c r="P234" s="9" t="n">
        <v>0.221119544088008</v>
      </c>
      <c r="Q234" s="9" t="n">
        <v>0.1172008147109622</v>
      </c>
      <c r="R234" s="9" t="n">
        <v>0.09052934487910751</v>
      </c>
      <c r="S234" s="9" t="n">
        <v>0.2243404329251088</v>
      </c>
      <c r="T234" s="9" t="n">
        <v>87055878308.93011</v>
      </c>
      <c r="U234" s="9" t="n">
        <v>0.0041829412992429</v>
      </c>
      <c r="V234" s="9" t="n">
        <v>0.0012726338013398</v>
      </c>
      <c r="W234" s="9" t="n">
        <v>-2.028756678001722</v>
      </c>
      <c r="X234" s="9" t="n">
        <v>13.70324801084995</v>
      </c>
      <c r="Y234" s="9" t="n">
        <v>3.09560365363344</v>
      </c>
      <c r="Z234" s="9" t="n">
        <v>14.72152742362446</v>
      </c>
      <c r="AA234" s="9" t="n">
        <v>10.5419875830109</v>
      </c>
      <c r="AB234" s="9" t="n">
        <v>21.50555911402174</v>
      </c>
      <c r="AC234" s="9" t="n">
        <v>2.319949965531412</v>
      </c>
      <c r="AD234" s="9" t="n">
        <v>451.7156909722253</v>
      </c>
      <c r="AE234" s="9" t="n">
        <v>451.7156909722253</v>
      </c>
      <c r="AF234" s="9" t="n">
        <v>15585.03562384259</v>
      </c>
      <c r="AG234" s="9" t="n">
        <v>43535.17270833333</v>
      </c>
      <c r="AH234" s="8" t="inlineStr">
        <is>
          <t>Moderate (5.0-5.9)</t>
        </is>
      </c>
    </row>
    <row r="235">
      <c r="A235" s="8" t="inlineStr">
        <is>
          <t>1991-05-08 18:00:28.000</t>
        </is>
      </c>
      <c r="B235" s="8" t="n">
        <v>1991</v>
      </c>
      <c r="C235" s="9" t="n">
        <v>10.33</v>
      </c>
      <c r="D235" s="9" t="n">
        <v>125.17</v>
      </c>
      <c r="E235" s="8" t="n">
        <v>20</v>
      </c>
      <c r="F235" s="9" t="n">
        <v>5.2</v>
      </c>
      <c r="G235" s="9" t="n">
        <v>20</v>
      </c>
      <c r="H235" s="9" t="n">
        <v>5.7</v>
      </c>
      <c r="I235" s="9" t="n">
        <v>4.470000000000001</v>
      </c>
      <c r="J235" s="9" t="n">
        <v>0.7577611559285211</v>
      </c>
      <c r="K235" s="9" t="n">
        <v>4.267316553301978</v>
      </c>
      <c r="L235" s="9" t="n">
        <v>0.1355311918809506</v>
      </c>
      <c r="M235" s="9" t="n">
        <v>0.0813487181790198</v>
      </c>
      <c r="N235" s="9" t="n">
        <v>0.8607638380064445</v>
      </c>
      <c r="O235" s="9" t="n">
        <v>4.742677188585937</v>
      </c>
      <c r="P235" s="9" t="n">
        <v>0.1748809913614538</v>
      </c>
      <c r="Q235" s="9" t="n">
        <v>0.0941027984454355</v>
      </c>
      <c r="R235" s="9" t="n">
        <v>0.06852031815614799</v>
      </c>
      <c r="S235" s="9" t="n">
        <v>0.1901528396335488</v>
      </c>
      <c r="T235" s="9" t="n">
        <v>162401255964.7713</v>
      </c>
      <c r="U235" s="9" t="n">
        <v>0.0053298689674597</v>
      </c>
      <c r="V235" s="9" t="n">
        <v>0.0026164261796495</v>
      </c>
      <c r="W235" s="9" t="n">
        <v>-3.1362502409359</v>
      </c>
      <c r="X235" s="9" t="n">
        <v>19.4046062394467</v>
      </c>
      <c r="Y235" s="9" t="n">
        <v>1.70055730671257</v>
      </c>
      <c r="Z235" s="9" t="n">
        <v>13.99446761856988</v>
      </c>
      <c r="AA235" s="9" t="n">
        <v>10.07256332257596</v>
      </c>
      <c r="AB235" s="9" t="n">
        <v>24.14853865569368</v>
      </c>
      <c r="AC235" s="9" t="n">
        <v>0.2831196258560617</v>
      </c>
      <c r="AD235" s="9" t="n">
        <v>454.4260173611146</v>
      </c>
      <c r="AE235" s="9" t="n">
        <v>454.4260173611146</v>
      </c>
      <c r="AF235" s="9" t="n">
        <v>15587.76780092593</v>
      </c>
      <c r="AG235" s="9" t="n">
        <v>43535.17270833333</v>
      </c>
      <c r="AH235" s="8" t="inlineStr">
        <is>
          <t>Moderate (5.0-5.9)</t>
        </is>
      </c>
    </row>
    <row r="236">
      <c r="A236" s="8" t="inlineStr">
        <is>
          <t>1991-05-11 22:12:15.000</t>
        </is>
      </c>
      <c r="B236" s="8" t="n">
        <v>1991</v>
      </c>
      <c r="C236" s="9" t="n">
        <v>10.25</v>
      </c>
      <c r="D236" s="9" t="n">
        <v>125.08</v>
      </c>
      <c r="E236" s="8" t="n">
        <v>6</v>
      </c>
      <c r="F236" s="9" t="n">
        <v>5.3</v>
      </c>
      <c r="G236" s="9" t="n">
        <v>22</v>
      </c>
      <c r="H236" s="9" t="n">
        <v>5.7</v>
      </c>
      <c r="I236" s="9" t="n">
        <v>4.486363636363636</v>
      </c>
      <c r="J236" s="9" t="n">
        <v>0.8007335150874838</v>
      </c>
      <c r="K236" s="9" t="n">
        <v>4.54660719258704</v>
      </c>
      <c r="L236" s="9" t="n">
        <v>0.1482009534443837</v>
      </c>
      <c r="M236" s="9" t="n">
        <v>0.07761697319940219</v>
      </c>
      <c r="N236" s="9" t="n">
        <v>0.8017744281290798</v>
      </c>
      <c r="O236" s="9" t="n">
        <v>4.526811287002668</v>
      </c>
      <c r="P236" s="9" t="n">
        <v>0.1485865113614763</v>
      </c>
      <c r="Q236" s="9" t="n">
        <v>0.0772132639352112</v>
      </c>
      <c r="R236" s="9" t="n">
        <v>0.0219471810290059</v>
      </c>
      <c r="S236" s="9" t="n">
        <v>0.0540088980314994</v>
      </c>
      <c r="T236" s="9" t="n">
        <v>169378345489.8916</v>
      </c>
      <c r="U236" s="9" t="n">
        <v>0.0039609508618771</v>
      </c>
      <c r="V236" s="9" t="n">
        <v>0.0039325722979873</v>
      </c>
      <c r="W236" s="9" t="n">
        <v>-0.2165063509461095</v>
      </c>
      <c r="X236" s="9" t="n">
        <v>21.00755470774351</v>
      </c>
      <c r="Y236" s="9" t="n">
        <v>1.70055730671257</v>
      </c>
      <c r="Z236" s="9" t="n">
        <v>13.69846878893677</v>
      </c>
      <c r="AA236" s="9" t="n">
        <v>9.662615270604576</v>
      </c>
      <c r="AB236" s="9" t="n">
        <v>22.57915926803226</v>
      </c>
      <c r="AC236" s="9" t="n">
        <v>-0.2278927538654152</v>
      </c>
      <c r="AD236" s="9" t="n">
        <v>457.6008668981522</v>
      </c>
      <c r="AE236" s="9" t="n">
        <v>457.6008668981522</v>
      </c>
      <c r="AF236" s="9" t="n">
        <v>15590.94265046296</v>
      </c>
      <c r="AG236" s="9" t="n">
        <v>43535.17270833333</v>
      </c>
      <c r="AH236" s="8" t="inlineStr">
        <is>
          <t>Moderate (5.0-5.9)</t>
        </is>
      </c>
    </row>
    <row r="237">
      <c r="A237" s="8" t="inlineStr">
        <is>
          <t>1991-06-26 19:56:44.000</t>
        </is>
      </c>
      <c r="B237" s="8" t="n">
        <v>1991</v>
      </c>
      <c r="C237" s="9" t="n">
        <v>10.22</v>
      </c>
      <c r="D237" s="9" t="n">
        <v>125.01</v>
      </c>
      <c r="E237" s="8" t="n">
        <v>4</v>
      </c>
      <c r="F237" s="9" t="n">
        <v>5.5</v>
      </c>
      <c r="G237" s="9" t="n">
        <v>4</v>
      </c>
      <c r="H237" s="9" t="n">
        <v>5.2</v>
      </c>
      <c r="I237" s="9" t="n">
        <v>4.525</v>
      </c>
      <c r="J237" s="9" t="n">
        <v>0.5171209460859695</v>
      </c>
      <c r="K237" s="9" t="n">
        <v>2.614252696540627</v>
      </c>
      <c r="L237" s="9" t="n">
        <v>0.1653698046412657</v>
      </c>
      <c r="M237" s="9" t="n">
        <v>0.0725754937683955</v>
      </c>
      <c r="N237" s="9" t="n">
        <v>0.7552947511360899</v>
      </c>
      <c r="O237" s="9" t="n">
        <v>3.623238995872322</v>
      </c>
      <c r="P237" s="9" t="n">
        <v>0.3527807571136155</v>
      </c>
      <c r="Q237" s="9" t="n">
        <v>0.1483164256704183</v>
      </c>
      <c r="R237" s="9" t="n">
        <v>0.1446010332251806</v>
      </c>
      <c r="S237" s="9" t="n">
        <v>0.4028807423560625</v>
      </c>
      <c r="T237" s="9" t="n">
        <v>51297441851.24684</v>
      </c>
      <c r="U237" s="9" t="n">
        <v>0.0280955256404637</v>
      </c>
      <c r="V237" s="9" t="n">
        <v>0.0054214536176622</v>
      </c>
      <c r="W237" s="9" t="n">
        <v>-0.8660254037844386</v>
      </c>
      <c r="X237" s="9" t="n">
        <v>2.209186927470575</v>
      </c>
      <c r="Y237" s="9" t="n">
        <v>1.30940138763099</v>
      </c>
      <c r="Z237" s="9" t="n">
        <v>24.61856346476171</v>
      </c>
      <c r="AA237" s="9" t="n">
        <v>32.52579534174958</v>
      </c>
      <c r="AB237" s="9" t="n">
        <v>25.22647296294297</v>
      </c>
      <c r="AC237" s="9" t="n">
        <v>0.4620556465711122</v>
      </c>
      <c r="AD237" s="9" t="n">
        <v>503.5067581018557</v>
      </c>
      <c r="AE237" s="9" t="n">
        <v>503.5067581018557</v>
      </c>
      <c r="AF237" s="9" t="n">
        <v>15636.84854166667</v>
      </c>
      <c r="AG237" s="9" t="n">
        <v>43535.17270833333</v>
      </c>
      <c r="AH237" s="8" t="inlineStr">
        <is>
          <t>Moderate (5.0-5.9)</t>
        </is>
      </c>
    </row>
    <row r="238">
      <c r="A238" s="8" t="inlineStr">
        <is>
          <t>1991-08-06 00:03:31.500</t>
        </is>
      </c>
      <c r="B238" s="8" t="n">
        <v>1991</v>
      </c>
      <c r="C238" s="9" t="n">
        <v>10.26</v>
      </c>
      <c r="D238" s="9" t="n">
        <v>125.23</v>
      </c>
      <c r="E238" s="8" t="n">
        <v>5</v>
      </c>
      <c r="F238" s="9" t="n">
        <v>5.1</v>
      </c>
      <c r="G238" s="9" t="n">
        <v>4</v>
      </c>
      <c r="H238" s="9" t="n">
        <v>4.8</v>
      </c>
      <c r="I238" s="9" t="n">
        <v>4.275</v>
      </c>
      <c r="J238" s="9" t="n">
        <v>0.7024033232159566</v>
      </c>
      <c r="K238" s="9" t="n">
        <v>3.257813508630198</v>
      </c>
      <c r="L238" s="9" t="n">
        <v>0.2141797403846587</v>
      </c>
      <c r="M238" s="9" t="n">
        <v>0.104038180844644</v>
      </c>
      <c r="N238" s="9" t="n">
        <v>1.336290713548466</v>
      </c>
      <c r="O238" s="9" t="n">
        <v>5.947222845521828</v>
      </c>
      <c r="P238" s="9" t="n">
        <v>0.7751882356175639</v>
      </c>
      <c r="Q238" s="9" t="n">
        <v>0.2283450349864594</v>
      </c>
      <c r="R238" s="9" t="n">
        <v>0.1619047619047613</v>
      </c>
      <c r="S238" s="9" t="n">
        <v>0.3494543326360348</v>
      </c>
      <c r="T238" s="9" t="n">
        <v>22872861287.45489</v>
      </c>
      <c r="U238" s="9" t="n">
        <v>0.0078124999999999</v>
      </c>
      <c r="V238" s="9" t="n">
        <v>9.797783966128992e-05</v>
      </c>
      <c r="W238" s="9" t="n">
        <v>-1.549193338482967</v>
      </c>
      <c r="X238" s="9" t="n">
        <v>1.622512393135966</v>
      </c>
      <c r="Y238" s="9" t="n">
        <v>5.27630168455357</v>
      </c>
      <c r="Z238" s="9" t="n">
        <v>9.937213537146595</v>
      </c>
      <c r="AA238" s="9" t="n">
        <v>4.289196879706726</v>
      </c>
      <c r="AB238" s="9" t="n">
        <v>9.761140543699495</v>
      </c>
      <c r="AC238" s="9" t="n">
        <v>1.707606636871794</v>
      </c>
      <c r="AD238" s="9" t="n">
        <v>543.6781412037126</v>
      </c>
      <c r="AE238" s="9" t="n">
        <v>543.6781412037126</v>
      </c>
      <c r="AF238" s="9" t="n">
        <v>15677.01992476852</v>
      </c>
      <c r="AG238" s="9" t="n">
        <v>43535.17270833333</v>
      </c>
      <c r="AH238" s="8" t="inlineStr">
        <is>
          <t>Moderate (5.0-5.9)</t>
        </is>
      </c>
    </row>
    <row r="239">
      <c r="A239" s="8" t="inlineStr">
        <is>
          <t>1991-10-23 12:49:39.200</t>
        </is>
      </c>
      <c r="B239" s="8" t="n">
        <v>1991</v>
      </c>
      <c r="C239" s="9" t="n">
        <v>9.890000000000001</v>
      </c>
      <c r="D239" s="9" t="n">
        <v>125.88</v>
      </c>
      <c r="E239" s="8" t="n">
        <v>26</v>
      </c>
      <c r="F239" s="9" t="n">
        <v>5</v>
      </c>
      <c r="G239" s="9" t="n">
        <v>3</v>
      </c>
      <c r="H239" s="9" t="n">
        <v>4.5</v>
      </c>
      <c r="I239" s="9" t="n">
        <v>4.166666666666667</v>
      </c>
      <c r="J239" s="9" t="n">
        <v>0.6816017924566625</v>
      </c>
      <c r="K239" s="9" t="n">
        <v>2.976327827060758</v>
      </c>
      <c r="L239" s="9" t="n">
        <v>0.1780893846673851</v>
      </c>
      <c r="M239" s="9" t="n">
        <v>0.1472428158827209</v>
      </c>
      <c r="N239" s="9" t="n">
        <v>2.0044360703227</v>
      </c>
      <c r="O239" s="9" t="n">
        <v>8.494865536010462</v>
      </c>
      <c r="P239" s="9" t="n">
        <v>1.540142851337438</v>
      </c>
      <c r="Q239" s="9" t="n">
        <v>0.3094887648684735</v>
      </c>
      <c r="R239" s="9" t="n">
        <v>0.1333333333333355</v>
      </c>
      <c r="S239" s="9" t="n">
        <v>0.2619673374552427</v>
      </c>
      <c r="T239" s="9" t="n">
        <v>12553501703.85296</v>
      </c>
      <c r="U239" s="9" t="n">
        <v>0.009019752538805201</v>
      </c>
      <c r="V239" s="9" t="n">
        <v>9.698214581498481e-07</v>
      </c>
      <c r="W239" s="9" t="n">
        <v>0.6123724356957945</v>
      </c>
      <c r="X239" s="9" t="n">
        <v>0.909316207462419</v>
      </c>
      <c r="Y239" s="9" t="n">
        <v>41.3660793806836</v>
      </c>
      <c r="Z239" s="9" t="n">
        <v>53.5999105444565</v>
      </c>
      <c r="AA239" s="9" t="n">
        <v>15.01174671584523</v>
      </c>
      <c r="AB239" s="9" t="n">
        <v>46.18039185182698</v>
      </c>
      <c r="AC239" s="9" t="n">
        <v>-1.193522869233373</v>
      </c>
      <c r="AD239" s="9" t="n">
        <v>5904.904863425923</v>
      </c>
      <c r="AE239" s="9" t="n">
        <v>12671.93328935185</v>
      </c>
      <c r="AF239" s="9" t="n">
        <v>14462.07815046296</v>
      </c>
      <c r="AG239" s="9" t="n">
        <v>14462.07815046296</v>
      </c>
      <c r="AH239" s="8" t="inlineStr">
        <is>
          <t>Moderate (5.0-5.9)</t>
        </is>
      </c>
    </row>
    <row r="240">
      <c r="A240" s="8" t="inlineStr">
        <is>
          <t>1991-11-13 11:12:22.400</t>
        </is>
      </c>
      <c r="B240" s="8" t="n">
        <v>1991</v>
      </c>
      <c r="C240" s="9" t="n">
        <v>8.31</v>
      </c>
      <c r="D240" s="9" t="n">
        <v>126.11</v>
      </c>
      <c r="E240" s="8" t="n">
        <v>68</v>
      </c>
      <c r="F240" s="9" t="n">
        <v>6.4</v>
      </c>
      <c r="G240" s="9" t="n">
        <v>3</v>
      </c>
      <c r="H240" s="9" t="n">
        <v>5.2</v>
      </c>
      <c r="I240" s="9" t="n">
        <v>4.600000000000001</v>
      </c>
      <c r="J240" s="9" t="n">
        <v>0.2602479571198157</v>
      </c>
      <c r="K240" s="9" t="n">
        <v>1.283889921791091</v>
      </c>
      <c r="L240" s="9" t="n">
        <v>0.0467330094376758</v>
      </c>
      <c r="M240" s="9" t="n">
        <v>0.1286700337241143</v>
      </c>
      <c r="N240" s="9" t="n">
        <v>1.240841376866432</v>
      </c>
      <c r="O240" s="9" t="n">
        <v>5.812739175245319</v>
      </c>
      <c r="P240" s="9" t="n">
        <v>1.06238425255521</v>
      </c>
      <c r="Q240" s="9" t="n">
        <v>0.3352643458638771</v>
      </c>
      <c r="R240" s="9" t="n">
        <v>0.2666666666666666</v>
      </c>
      <c r="S240" s="9" t="n">
        <v>0.5154856989661614</v>
      </c>
      <c r="T240" s="9" t="n">
        <v>48997712472.5154</v>
      </c>
      <c r="U240" s="9" t="n">
        <v>0.1656746755041472</v>
      </c>
      <c r="V240" s="9" t="n">
        <v>0.0001894418252328</v>
      </c>
      <c r="W240" s="9" t="n">
        <v>0.6123724356957945</v>
      </c>
      <c r="X240" s="9" t="n">
        <v>1.116003966215044</v>
      </c>
      <c r="Y240" s="9" t="n">
        <v>7.36998420697177</v>
      </c>
      <c r="Z240" s="9" t="n">
        <v>16.96049857373866</v>
      </c>
      <c r="AA240" s="9" t="n">
        <v>10.62764169977937</v>
      </c>
      <c r="AB240" s="9" t="n">
        <v>26.98069722652898</v>
      </c>
      <c r="AC240" s="9" t="n">
        <v>1.729983530049527</v>
      </c>
      <c r="AD240" s="9" t="n">
        <v>200.7328495370384</v>
      </c>
      <c r="AE240" s="9" t="n">
        <v>697.6865439814828</v>
      </c>
      <c r="AF240" s="9" t="n">
        <v>24546.33848842592</v>
      </c>
      <c r="AG240" s="9" t="n">
        <v>29344.29498148148</v>
      </c>
      <c r="AH240" s="8" t="inlineStr">
        <is>
          <t>Strong (6.0-6.9)</t>
        </is>
      </c>
    </row>
    <row r="241">
      <c r="A241" s="8" t="inlineStr">
        <is>
          <t>1992-05-08 20:53:20.900</t>
        </is>
      </c>
      <c r="B241" s="8" t="n">
        <v>1992</v>
      </c>
      <c r="C241" s="9" t="n">
        <v>7.76</v>
      </c>
      <c r="D241" s="9" t="n">
        <v>124.95</v>
      </c>
      <c r="E241" s="8" t="n">
        <v>33</v>
      </c>
      <c r="F241" s="9" t="n">
        <v>5.6</v>
      </c>
      <c r="G241" s="9" t="n">
        <v>3</v>
      </c>
      <c r="H241" s="9" t="n">
        <v>4.4</v>
      </c>
      <c r="I241" s="9" t="n">
        <v>4.266666666666667</v>
      </c>
      <c r="J241" s="9" t="n">
        <v>1.431363764158987</v>
      </c>
      <c r="K241" s="9" t="n">
        <v>6.353091309187604</v>
      </c>
      <c r="L241" s="9" t="n">
        <v>0.4155809566599093</v>
      </c>
      <c r="M241" s="9" t="n">
        <v>0.0713784667846511</v>
      </c>
      <c r="N241" s="9" t="n">
        <v>2.0044360703227</v>
      </c>
      <c r="O241" s="9" t="n">
        <v>8.695309143042731</v>
      </c>
      <c r="P241" s="9" t="n">
        <v>0.8149669936305581</v>
      </c>
      <c r="Q241" s="9" t="n">
        <v>0.1633492533040966</v>
      </c>
      <c r="R241" s="9" t="n">
        <v>-0.0384882922619116</v>
      </c>
      <c r="S241" s="9" t="n">
        <v>0.0619673374552434</v>
      </c>
      <c r="T241" s="9" t="n">
        <v>12732587862.89043</v>
      </c>
      <c r="U241" s="9" t="n">
        <v>5.08052634252909e-05</v>
      </c>
      <c r="V241" s="9" t="n">
        <v>9.698214581498481e-07</v>
      </c>
      <c r="W241" s="9" t="n">
        <v>-0.6123724356957945</v>
      </c>
      <c r="X241" s="9" t="n">
        <v>2.1255371128042</v>
      </c>
      <c r="Y241" s="9" t="n">
        <v>11.5226014692606</v>
      </c>
      <c r="Z241" s="9" t="n">
        <v>35.05132403852686</v>
      </c>
      <c r="AA241" s="9" t="n">
        <v>20.39405306188608</v>
      </c>
      <c r="AB241" s="9" t="n">
        <v>34.96779488761922</v>
      </c>
      <c r="AC241" s="9" t="n">
        <v>-0.3514223884186004</v>
      </c>
      <c r="AD241" s="9" t="n">
        <v>12593.54219791666</v>
      </c>
      <c r="AE241" s="9" t="n">
        <v>13543.13551967592</v>
      </c>
      <c r="AF241" s="9" t="n">
        <v>13553.10847800925</v>
      </c>
      <c r="AG241" s="9" t="n">
        <v>43535.17270833333</v>
      </c>
      <c r="AH241" s="8" t="inlineStr">
        <is>
          <t>Moderate (5.0-5.9)</t>
        </is>
      </c>
    </row>
    <row r="242">
      <c r="A242" s="8" t="inlineStr">
        <is>
          <t>1992-05-09 02:25:55.100</t>
        </is>
      </c>
      <c r="B242" s="8" t="n">
        <v>1992</v>
      </c>
      <c r="C242" s="9" t="n">
        <v>7.81</v>
      </c>
      <c r="D242" s="9" t="n">
        <v>125.06</v>
      </c>
      <c r="E242" s="8" t="n">
        <v>17</v>
      </c>
      <c r="F242" s="9" t="n">
        <v>5</v>
      </c>
      <c r="G242" s="9" t="n">
        <v>5</v>
      </c>
      <c r="H242" s="9" t="n">
        <v>5.6</v>
      </c>
      <c r="I242" s="9" t="n">
        <v>4.48</v>
      </c>
      <c r="J242" s="9" t="n">
        <v>0.2752759389169826</v>
      </c>
      <c r="K242" s="9" t="n">
        <v>1.432536934366769</v>
      </c>
      <c r="L242" s="9" t="n">
        <v>0.0503323683846628</v>
      </c>
      <c r="M242" s="9" t="n">
        <v>0.1278073359634049</v>
      </c>
      <c r="N242" s="9" t="n">
        <v>0.7042613220052737</v>
      </c>
      <c r="O242" s="9" t="n">
        <v>3.435018807141812</v>
      </c>
      <c r="P242" s="9" t="n">
        <v>0.3294416743793935</v>
      </c>
      <c r="Q242" s="9" t="n">
        <v>0.2374526728237363</v>
      </c>
      <c r="R242" s="9" t="n">
        <v>0.3959965553008544</v>
      </c>
      <c r="S242" s="9" t="n">
        <v>0.7225224219879989</v>
      </c>
      <c r="T242" s="9" t="n">
        <v>110456380855.906</v>
      </c>
      <c r="U242" s="9" t="n">
        <v>0.1493386370015494</v>
      </c>
      <c r="V242" s="9" t="n">
        <v>0.0077128704008256</v>
      </c>
      <c r="W242" s="9" t="n">
        <v>-0.9486832980505135</v>
      </c>
      <c r="X242" s="9" t="n">
        <v>4.087388944035704</v>
      </c>
      <c r="Y242" s="9" t="n">
        <v>11.5226014692606</v>
      </c>
      <c r="Z242" s="9" t="n">
        <v>42.59819174989762</v>
      </c>
      <c r="AA242" s="9" t="n">
        <v>18.23035472810623</v>
      </c>
      <c r="AB242" s="9" t="n">
        <v>47.62120504929784</v>
      </c>
      <c r="AC242" s="9" t="n">
        <v>1.03157238365586</v>
      </c>
      <c r="AD242" s="9" t="n">
        <v>12593.77314930556</v>
      </c>
      <c r="AE242" s="9" t="n">
        <v>13543.36647106482</v>
      </c>
      <c r="AF242" s="9" t="n">
        <v>43535.17270833333</v>
      </c>
      <c r="AG242" s="9" t="n">
        <v>43535.17270833333</v>
      </c>
      <c r="AH242" s="8" t="inlineStr">
        <is>
          <t>Moderate (5.0-5.9)</t>
        </is>
      </c>
    </row>
    <row r="243">
      <c r="A243" s="8" t="inlineStr">
        <is>
          <t>1992-08-04 18:01:24.100</t>
        </is>
      </c>
      <c r="B243" s="8" t="n">
        <v>1992</v>
      </c>
      <c r="C243" s="9" t="n">
        <v>10.02</v>
      </c>
      <c r="D243" s="9" t="n">
        <v>126.15</v>
      </c>
      <c r="E243" s="8" t="n">
        <v>34</v>
      </c>
      <c r="F243" s="9" t="n">
        <v>5.1</v>
      </c>
      <c r="G243" s="9" t="n">
        <v>11</v>
      </c>
      <c r="H243" s="9" t="n">
        <v>4.9</v>
      </c>
      <c r="I243" s="9" t="n">
        <v>4.390909090909091</v>
      </c>
      <c r="J243" s="9" t="n">
        <v>0.5594011909923823</v>
      </c>
      <c r="K243" s="9" t="n">
        <v>3.159449161969308</v>
      </c>
      <c r="L243" s="9" t="n">
        <v>0.0820367024349679</v>
      </c>
      <c r="M243" s="9" t="n">
        <v>0.091045712638785</v>
      </c>
      <c r="N243" s="9" t="n">
        <v>1.120759953298716</v>
      </c>
      <c r="O243" s="9" t="n">
        <v>5.610281790846553</v>
      </c>
      <c r="P243" s="9" t="n">
        <v>0.3292961329282065</v>
      </c>
      <c r="Q243" s="9" t="n">
        <v>0.1812786893518906</v>
      </c>
      <c r="R243" s="9" t="n">
        <v>-0.7479128268647735</v>
      </c>
      <c r="S243" s="9" t="n">
        <v>-0.1057835974009346</v>
      </c>
      <c r="T243" s="9" t="n">
        <v>49049392046.04025</v>
      </c>
      <c r="U243" s="9" t="n">
        <v>0.0209795624848613</v>
      </c>
      <c r="V243" s="9" t="n">
        <v>0.0004342303154472</v>
      </c>
      <c r="W243" s="9" t="n">
        <v>-2.008316044185609</v>
      </c>
      <c r="X243" s="9" t="n">
        <v>9.767237368347311</v>
      </c>
      <c r="Y243" s="9" t="n">
        <v>19.2521516546423</v>
      </c>
      <c r="Z243" s="9" t="n">
        <v>48.69885351813396</v>
      </c>
      <c r="AA243" s="9" t="n">
        <v>16.66087373997645</v>
      </c>
      <c r="AB243" s="9" t="n">
        <v>56.70641481358107</v>
      </c>
      <c r="AC243" s="9" t="n">
        <v>-0.5273036158828286</v>
      </c>
      <c r="AD243" s="9" t="n">
        <v>6191.121355324074</v>
      </c>
      <c r="AE243" s="9" t="n">
        <v>12958.14978125</v>
      </c>
      <c r="AF243" s="9" t="n">
        <v>14748.29464236111</v>
      </c>
      <c r="AG243" s="9" t="n">
        <v>14748.29464236111</v>
      </c>
      <c r="AH243" s="8" t="inlineStr">
        <is>
          <t>Moderate (5.0-5.9)</t>
        </is>
      </c>
    </row>
    <row r="244">
      <c r="A244" s="8" t="inlineStr">
        <is>
          <t>1992-08-08 02:50:15.400</t>
        </is>
      </c>
      <c r="B244" s="8" t="n">
        <v>1992</v>
      </c>
      <c r="C244" s="9" t="n">
        <v>10.06</v>
      </c>
      <c r="D244" s="9" t="n">
        <v>126.23</v>
      </c>
      <c r="E244" s="8" t="n">
        <v>20</v>
      </c>
      <c r="F244" s="9" t="n">
        <v>5.5</v>
      </c>
      <c r="G244" s="9" t="n">
        <v>12</v>
      </c>
      <c r="H244" s="9" t="n">
        <v>5.1</v>
      </c>
      <c r="I244" s="9" t="n">
        <v>4.45</v>
      </c>
      <c r="J244" s="9" t="n">
        <v>0.9178475809528026</v>
      </c>
      <c r="K244" s="9" t="n">
        <v>4.838427755052804</v>
      </c>
      <c r="L244" s="9" t="n">
        <v>0.2318531004088491</v>
      </c>
      <c r="M244" s="9" t="n">
        <v>0.1624615048845403</v>
      </c>
      <c r="N244" s="9" t="n">
        <v>0.9650988486738944</v>
      </c>
      <c r="O244" s="9" t="n">
        <v>5.007657673869682</v>
      </c>
      <c r="P244" s="9" t="n">
        <v>0.2563394024203215</v>
      </c>
      <c r="Q244" s="9" t="n">
        <v>0.1592098886679955</v>
      </c>
      <c r="R244" s="9" t="n">
        <v>-0.1714937157976832</v>
      </c>
      <c r="S244" s="9" t="n">
        <v>-0.08875105980129749</v>
      </c>
      <c r="T244" s="9" t="n">
        <v>62605144425.3773</v>
      </c>
      <c r="U244" s="9" t="n">
        <v>0.0017638321612151</v>
      </c>
      <c r="V244" s="9" t="n">
        <v>0.0012726338013397</v>
      </c>
      <c r="W244" s="9" t="n">
        <v>-0.2876779808912305</v>
      </c>
      <c r="X244" s="9" t="n">
        <v>10.75124002897297</v>
      </c>
      <c r="Y244" s="9" t="n">
        <v>19.2521516546423</v>
      </c>
      <c r="Z244" s="9" t="n">
        <v>50.60304530649395</v>
      </c>
      <c r="AA244" s="9" t="n">
        <v>17.20061325074717</v>
      </c>
      <c r="AB244" s="9" t="n">
        <v>61.69345282533668</v>
      </c>
      <c r="AC244" s="9" t="n">
        <v>0.7668108845432791</v>
      </c>
      <c r="AD244" s="9" t="n">
        <v>6194.488615740742</v>
      </c>
      <c r="AE244" s="9" t="n">
        <v>12961.51704166667</v>
      </c>
      <c r="AF244" s="9" t="n">
        <v>14751.66190277778</v>
      </c>
      <c r="AG244" s="9" t="n">
        <v>14751.66190277778</v>
      </c>
      <c r="AH244" s="8" t="inlineStr">
        <is>
          <t>Moderate (5.0-5.9)</t>
        </is>
      </c>
    </row>
    <row r="245">
      <c r="A245" s="8" t="inlineStr">
        <is>
          <t>1993-10-08 05:16:29.900</t>
        </is>
      </c>
      <c r="B245" s="8" t="n">
        <v>1993</v>
      </c>
      <c r="C245" s="9" t="n">
        <v>7.36</v>
      </c>
      <c r="D245" s="9" t="n">
        <v>126.29</v>
      </c>
      <c r="E245" s="8" t="n">
        <v>8</v>
      </c>
      <c r="F245" s="9" t="n">
        <v>5</v>
      </c>
      <c r="G245" s="9" t="n">
        <v>3</v>
      </c>
      <c r="H245" s="9" t="n">
        <v>4.4</v>
      </c>
      <c r="I245" s="9" t="n">
        <v>4.300000000000001</v>
      </c>
      <c r="J245" s="9" t="n">
        <v>2.385606273598328</v>
      </c>
      <c r="K245" s="9" t="n">
        <v>10.5174907266007</v>
      </c>
      <c r="L245" s="9" t="n">
        <v>0.7557266632048494</v>
      </c>
      <c r="M245" s="9" t="n">
        <v>0.0360667066065058</v>
      </c>
      <c r="N245" s="9" t="n">
        <v>2.895296546021672</v>
      </c>
      <c r="O245" s="9" t="n">
        <v>12.63736674801068</v>
      </c>
      <c r="P245" s="9" t="n">
        <v>1.113149032428996</v>
      </c>
      <c r="Q245" s="9" t="n">
        <v>0.1078416351329136</v>
      </c>
      <c r="R245" s="9" t="n">
        <v>-0.0087286502380967</v>
      </c>
      <c r="S245" s="9" t="n">
        <v>0.0352081566997837</v>
      </c>
      <c r="T245" s="9" t="n">
        <v>13207508090.97011</v>
      </c>
      <c r="U245" s="9" t="n">
        <v>6.969171937624866e-08</v>
      </c>
      <c r="V245" s="9" t="n">
        <v>2.061153622438658e-09</v>
      </c>
      <c r="W245" s="9" t="n">
        <v>2.121320343559642</v>
      </c>
      <c r="X245" s="9" t="n">
        <v>2.599710778816777</v>
      </c>
      <c r="Y245" s="9" t="n">
        <v>2.4967380838042</v>
      </c>
      <c r="Z245" s="9" t="n">
        <v>40.4748236132934</v>
      </c>
      <c r="AA245" s="9" t="n">
        <v>32.97845523349248</v>
      </c>
      <c r="AB245" s="9" t="n">
        <v>41.7530646431715</v>
      </c>
      <c r="AC245" s="9" t="n">
        <v>-13.19073281711952</v>
      </c>
      <c r="AD245" s="9" t="n">
        <v>149.4372164351844</v>
      </c>
      <c r="AE245" s="9" t="n">
        <v>149.4372164351844</v>
      </c>
      <c r="AF245" s="9" t="n">
        <v>508.7923414351862</v>
      </c>
      <c r="AG245" s="9" t="n">
        <v>25378.53715162037</v>
      </c>
      <c r="AH245" s="8" t="inlineStr">
        <is>
          <t>Moderate (5.0-5.9)</t>
        </is>
      </c>
    </row>
    <row r="246">
      <c r="A246" s="8" t="inlineStr">
        <is>
          <t>1994-09-10 04:54:02.000</t>
        </is>
      </c>
      <c r="B246" s="8" t="n">
        <v>1994</v>
      </c>
      <c r="C246" s="9" t="n">
        <v>7.48</v>
      </c>
      <c r="D246" s="9" t="n">
        <v>127.13</v>
      </c>
      <c r="E246" s="8" t="n">
        <v>7</v>
      </c>
      <c r="F246" s="9" t="n">
        <v>5.7</v>
      </c>
      <c r="G246" s="9" t="n">
        <v>3</v>
      </c>
      <c r="H246" s="9" t="n">
        <v>4.8</v>
      </c>
      <c r="I246" s="9" t="n">
        <v>4.5</v>
      </c>
      <c r="J246" s="9" t="n">
        <v>0.3180808364797752</v>
      </c>
      <c r="K246" s="9" t="n">
        <v>1.686703594329625</v>
      </c>
      <c r="L246" s="9" t="n">
        <v>0.0585624205128728</v>
      </c>
      <c r="M246" s="9" t="n">
        <v>0.0860141913557106</v>
      </c>
      <c r="N246" s="9" t="n">
        <v>0.7896263307331853</v>
      </c>
      <c r="O246" s="9" t="n">
        <v>3.635626577652404</v>
      </c>
      <c r="P246" s="9" t="n">
        <v>0.3609003080423377</v>
      </c>
      <c r="Q246" s="9" t="n">
        <v>0.2046967960857552</v>
      </c>
      <c r="R246" s="9" t="n">
        <v>-0.5027513791666998</v>
      </c>
      <c r="S246" s="9" t="n">
        <v>0.1957632412325392</v>
      </c>
      <c r="T246" s="9" t="n">
        <v>27217051906.43241</v>
      </c>
      <c r="U246" s="9" t="n">
        <v>0.1111111111111109</v>
      </c>
      <c r="V246" s="9" t="n">
        <v>0.0042768203492089</v>
      </c>
      <c r="W246" s="9" t="n">
        <v>-0.6123724356957945</v>
      </c>
      <c r="X246" s="9" t="n">
        <v>2.713064720295049</v>
      </c>
      <c r="Y246" s="9" t="n">
        <v>29.7956658968526</v>
      </c>
      <c r="Z246" s="9" t="n">
        <v>45.4123170766121</v>
      </c>
      <c r="AA246" s="9" t="n">
        <v>14.76602860941502</v>
      </c>
      <c r="AB246" s="9" t="n">
        <v>40.72157788367196</v>
      </c>
      <c r="AC246" s="9" t="n">
        <v>-2.676131459152598</v>
      </c>
      <c r="AD246" s="9" t="n">
        <v>486.4216157407391</v>
      </c>
      <c r="AE246" s="9" t="n">
        <v>486.4216157407391</v>
      </c>
      <c r="AF246" s="9" t="n">
        <v>845.7767407407409</v>
      </c>
      <c r="AG246" s="9" t="n">
        <v>18735.2405787037</v>
      </c>
      <c r="AH246" s="8" t="inlineStr">
        <is>
          <t>Moderate (5.0-5.9)</t>
        </is>
      </c>
    </row>
    <row r="247">
      <c r="A247" s="8" t="inlineStr">
        <is>
          <t>1994-09-20 08:45:30.800</t>
        </is>
      </c>
      <c r="B247" s="8" t="n">
        <v>1994</v>
      </c>
      <c r="C247" s="9" t="n">
        <v>7.56</v>
      </c>
      <c r="D247" s="9" t="n">
        <v>126.43</v>
      </c>
      <c r="E247" s="8" t="n">
        <v>4</v>
      </c>
      <c r="F247" s="9" t="n">
        <v>5.6</v>
      </c>
      <c r="G247" s="9" t="n">
        <v>4</v>
      </c>
      <c r="H247" s="9" t="n">
        <v>5.7</v>
      </c>
      <c r="I247" s="9" t="n">
        <v>4.824999999999999</v>
      </c>
      <c r="J247" s="9" t="n">
        <v>0.4411711716597689</v>
      </c>
      <c r="K247" s="9" t="n">
        <v>2.383257418504039</v>
      </c>
      <c r="L247" s="9" t="n">
        <v>0.147765250099086</v>
      </c>
      <c r="M247" s="9" t="n">
        <v>0.1091632823558712</v>
      </c>
      <c r="N247" s="9" t="n">
        <v>0.5603799766493576</v>
      </c>
      <c r="O247" s="9" t="n">
        <v>2.899617895590328</v>
      </c>
      <c r="P247" s="9" t="n">
        <v>0.2384093476260639</v>
      </c>
      <c r="Q247" s="9" t="n">
        <v>0.1392936536282019</v>
      </c>
      <c r="R247" s="9" t="n">
        <v>0.2978849671029575</v>
      </c>
      <c r="S247" s="9" t="n">
        <v>0.5256218701320856</v>
      </c>
      <c r="T247" s="9" t="n">
        <v>137644164052.977</v>
      </c>
      <c r="U247" s="9" t="n">
        <v>0.0474773516049553</v>
      </c>
      <c r="V247" s="9" t="n">
        <v>0.0208381936704526</v>
      </c>
      <c r="W247" s="9" t="n">
        <v>2.82842712474619</v>
      </c>
      <c r="X247" s="9" t="n">
        <v>2.55204276275345</v>
      </c>
      <c r="Y247" s="9" t="n">
        <v>19.0298531666899</v>
      </c>
      <c r="Z247" s="9" t="n">
        <v>29.05173343860863</v>
      </c>
      <c r="AA247" s="9" t="n">
        <v>13.09106286059558</v>
      </c>
      <c r="AB247" s="9" t="n">
        <v>20.51759477396367</v>
      </c>
      <c r="AC247" s="9" t="n">
        <v>-5.325057444761323</v>
      </c>
      <c r="AD247" s="9" t="n">
        <v>496.5823657407418</v>
      </c>
      <c r="AE247" s="9" t="n">
        <v>496.5823657407418</v>
      </c>
      <c r="AF247" s="9" t="n">
        <v>855.9374907407437</v>
      </c>
      <c r="AG247" s="9" t="n">
        <v>26610.58984722223</v>
      </c>
      <c r="AH247" s="8" t="inlineStr">
        <is>
          <t>Moderate (5.0-5.9)</t>
        </is>
      </c>
    </row>
    <row r="248">
      <c r="A248" s="8" t="inlineStr">
        <is>
          <t>1994-10-12 06:34:21.700</t>
        </is>
      </c>
      <c r="B248" s="8" t="n">
        <v>1994</v>
      </c>
      <c r="C248" s="9" t="n">
        <v>14.15</v>
      </c>
      <c r="D248" s="9" t="n">
        <v>124.47</v>
      </c>
      <c r="E248" s="8" t="n">
        <v>7</v>
      </c>
      <c r="F248" s="9" t="n">
        <v>5.2</v>
      </c>
      <c r="G248" s="9" t="n">
        <v>4</v>
      </c>
      <c r="H248" s="9" t="n">
        <v>5.3</v>
      </c>
      <c r="I248" s="9" t="n">
        <v>4.800000000000001</v>
      </c>
      <c r="J248" s="9" t="n">
        <v>0.4561060540363352</v>
      </c>
      <c r="K248" s="9" t="n">
        <v>2.48304135817381</v>
      </c>
      <c r="L248" s="9" t="n">
        <v>0.1122124008292948</v>
      </c>
      <c r="M248" s="9" t="n">
        <v>0.1006469432683333</v>
      </c>
      <c r="N248" s="9" t="n">
        <v>0.9650988486738924</v>
      </c>
      <c r="O248" s="9" t="n">
        <v>4.84849492549309</v>
      </c>
      <c r="P248" s="9" t="n">
        <v>0.5024036383075858</v>
      </c>
      <c r="Q248" s="9" t="n">
        <v>0.2137825898867267</v>
      </c>
      <c r="R248" s="9" t="n">
        <v>-0.1440000000000019</v>
      </c>
      <c r="S248" s="9" t="n">
        <v>0.2761675374960486</v>
      </c>
      <c r="T248" s="9" t="n">
        <v>71744564304.07857</v>
      </c>
      <c r="U248" s="9" t="n">
        <v>0.0428234682725038</v>
      </c>
      <c r="V248" s="9" t="n">
        <v>0.0012726338013398</v>
      </c>
      <c r="W248" s="9" t="n">
        <v>-0.9999999999999998</v>
      </c>
      <c r="X248" s="9" t="n">
        <v>8.01355519627422</v>
      </c>
      <c r="Y248" s="9" t="n">
        <v>42.2687540176551</v>
      </c>
      <c r="Z248" s="9" t="n">
        <v>48.19597575863197</v>
      </c>
      <c r="AA248" s="9" t="n">
        <v>5.352589359254803</v>
      </c>
      <c r="AB248" s="9" t="n">
        <v>50.6518628178291</v>
      </c>
      <c r="AC248" s="9" t="n">
        <v>-13.73199137910471</v>
      </c>
      <c r="AD248" s="9" t="n">
        <v>20702.86055208333</v>
      </c>
      <c r="AE248" s="9" t="n">
        <v>20702.86055208333</v>
      </c>
      <c r="AF248" s="9" t="n">
        <v>43535.17270833333</v>
      </c>
      <c r="AG248" s="9" t="n">
        <v>43535.17270833333</v>
      </c>
      <c r="AH248" s="8" t="inlineStr">
        <is>
          <t>Moderate (5.0-5.9)</t>
        </is>
      </c>
    </row>
    <row r="249">
      <c r="A249" s="8" t="inlineStr">
        <is>
          <t>1994-10-12 06:43:38.000</t>
        </is>
      </c>
      <c r="B249" s="8" t="n">
        <v>1994</v>
      </c>
      <c r="C249" s="9" t="n">
        <v>14.06</v>
      </c>
      <c r="D249" s="9" t="n">
        <v>124.64</v>
      </c>
      <c r="E249" s="8" t="n">
        <v>8</v>
      </c>
      <c r="F249" s="9" t="n">
        <v>6.6</v>
      </c>
      <c r="G249" s="9" t="n">
        <v>5</v>
      </c>
      <c r="H249" s="9" t="n">
        <v>5.3</v>
      </c>
      <c r="I249" s="9" t="n">
        <v>4.880000000000001</v>
      </c>
      <c r="J249" s="9" t="n">
        <v>0.5024172712281009</v>
      </c>
      <c r="K249" s="9" t="n">
        <v>2.882435183076844</v>
      </c>
      <c r="L249" s="9" t="n">
        <v>0.1152404824432032</v>
      </c>
      <c r="M249" s="9" t="n">
        <v>0.119103371454086</v>
      </c>
      <c r="N249" s="9" t="n">
        <v>0.668145356774235</v>
      </c>
      <c r="O249" s="9" t="n">
        <v>3.550589895881144</v>
      </c>
      <c r="P249" s="9" t="n">
        <v>0.2038064180643734</v>
      </c>
      <c r="Q249" s="9" t="n">
        <v>0.1851122368399947</v>
      </c>
      <c r="R249" s="9" t="n">
        <v>-0.4371339485027343</v>
      </c>
      <c r="S249" s="9" t="n">
        <v>-0.0140979876342708</v>
      </c>
      <c r="T249" s="9" t="n">
        <v>86244710910.00191</v>
      </c>
      <c r="U249" s="9" t="n">
        <v>0.0310991261712945</v>
      </c>
      <c r="V249" s="9" t="n">
        <v>0.0098983756072038</v>
      </c>
      <c r="W249" s="9" t="n">
        <v>-1</v>
      </c>
      <c r="X249" s="9" t="n">
        <v>9.311630656989127</v>
      </c>
      <c r="Y249" s="9" t="n">
        <v>42.2687540176551</v>
      </c>
      <c r="Z249" s="9" t="n">
        <v>54.26492958232806</v>
      </c>
      <c r="AA249" s="9" t="n">
        <v>14.34045543932906</v>
      </c>
      <c r="AB249" s="9" t="n">
        <v>59.24184604537538</v>
      </c>
      <c r="AC249" s="9" t="n">
        <v>316.4549161792064</v>
      </c>
      <c r="AD249" s="9" t="n">
        <v>20702.86699074075</v>
      </c>
      <c r="AE249" s="9" t="n">
        <v>20702.86699074075</v>
      </c>
      <c r="AF249" s="9" t="n">
        <v>43535.17270833333</v>
      </c>
      <c r="AG249" s="9" t="n">
        <v>43535.17270833333</v>
      </c>
      <c r="AH249" s="8" t="inlineStr">
        <is>
          <t>Strong (6.0-6.9)</t>
        </is>
      </c>
    </row>
    <row r="250">
      <c r="A250" s="8" t="inlineStr">
        <is>
          <t>1994-11-06 11:53:11.600</t>
        </is>
      </c>
      <c r="B250" s="8" t="n">
        <v>1994</v>
      </c>
      <c r="C250" s="9" t="n">
        <v>7.55</v>
      </c>
      <c r="D250" s="9" t="n">
        <v>125.93</v>
      </c>
      <c r="E250" s="8" t="n">
        <v>23</v>
      </c>
      <c r="F250" s="9" t="n">
        <v>5.7</v>
      </c>
      <c r="G250" s="9" t="n">
        <v>3</v>
      </c>
      <c r="H250" s="9" t="n">
        <v>4.6</v>
      </c>
      <c r="I250" s="9" t="n">
        <v>4.466666666666667</v>
      </c>
      <c r="J250" s="9" t="n">
        <v>2.385606273598339</v>
      </c>
      <c r="K250" s="9" t="n">
        <v>10.89426864943242</v>
      </c>
      <c r="L250" s="9" t="n">
        <v>0.8726379848701991</v>
      </c>
      <c r="M250" s="9" t="n">
        <v>0.1377330424242445</v>
      </c>
      <c r="N250" s="9" t="n">
        <v>3.722524130599314</v>
      </c>
      <c r="O250" s="9" t="n">
        <v>16.85622742935665</v>
      </c>
      <c r="P250" s="9" t="n">
        <v>2.124768505110433</v>
      </c>
      <c r="Q250" s="9" t="n">
        <v>0.2030904333120833</v>
      </c>
      <c r="R250" s="9" t="n">
        <v>0.0333333333333332</v>
      </c>
      <c r="S250" s="9" t="n">
        <v>0.0718285663220541</v>
      </c>
      <c r="T250" s="9" t="n">
        <v>18891766090.46548</v>
      </c>
      <c r="U250" s="9" t="n">
        <v>6.969171937624339e-08</v>
      </c>
      <c r="V250" s="9" t="n">
        <v>6.79872708748768e-12</v>
      </c>
      <c r="W250" s="9" t="n">
        <v>-1.441153384245784</v>
      </c>
      <c r="X250" s="9" t="n">
        <v>1.968428740911147</v>
      </c>
      <c r="Y250" s="9" t="n">
        <v>2.71058581937841</v>
      </c>
      <c r="Z250" s="9" t="n">
        <v>10.52719663260356</v>
      </c>
      <c r="AA250" s="9" t="n">
        <v>11.72721141480752</v>
      </c>
      <c r="AB250" s="9" t="n">
        <v>8.579995783229091</v>
      </c>
      <c r="AC250" s="9" t="n">
        <v>5.043788202334682</v>
      </c>
      <c r="AD250" s="9" t="n">
        <v>543.7126990740726</v>
      </c>
      <c r="AE250" s="9" t="n">
        <v>543.7126990740726</v>
      </c>
      <c r="AF250" s="9" t="n">
        <v>27703.43020370371</v>
      </c>
      <c r="AG250" s="9" t="n">
        <v>43535.17270833333</v>
      </c>
      <c r="AH250" s="8" t="inlineStr">
        <is>
          <t>Moderate (5.0-5.9)</t>
        </is>
      </c>
    </row>
    <row r="251">
      <c r="A251" s="8" t="inlineStr">
        <is>
          <t>1994-11-24 10:38:40.900</t>
        </is>
      </c>
      <c r="B251" s="8" t="n">
        <v>1994</v>
      </c>
      <c r="C251" s="9" t="n">
        <v>12.57</v>
      </c>
      <c r="D251" s="9" t="n">
        <v>121.02</v>
      </c>
      <c r="E251" s="8" t="n">
        <v>9</v>
      </c>
      <c r="F251" s="9" t="n">
        <v>5.2</v>
      </c>
      <c r="G251" s="9" t="n">
        <v>4</v>
      </c>
      <c r="H251" s="9" t="n">
        <v>5.1</v>
      </c>
      <c r="I251" s="9" t="n">
        <v>4.625</v>
      </c>
      <c r="J251" s="9" t="n">
        <v>0.4802171797893506</v>
      </c>
      <c r="K251" s="9" t="n">
        <v>2.534303688673395</v>
      </c>
      <c r="L251" s="9" t="n">
        <v>0.1287881251349894</v>
      </c>
      <c r="M251" s="9" t="n">
        <v>0.0792864298412318</v>
      </c>
      <c r="N251" s="9" t="n">
        <v>0.6433992324492621</v>
      </c>
      <c r="O251" s="9" t="n">
        <v>3.175656921125011</v>
      </c>
      <c r="P251" s="9" t="n">
        <v>0.2311859899856267</v>
      </c>
      <c r="Q251" s="9" t="n">
        <v>0.1445820785404848</v>
      </c>
      <c r="R251" s="9" t="n">
        <v>-0.1774115448870006</v>
      </c>
      <c r="S251" s="9" t="n">
        <v>0.1642513062440738</v>
      </c>
      <c r="T251" s="9" t="n">
        <v>48124797865.0075</v>
      </c>
      <c r="U251" s="9" t="n">
        <v>0.0362533764435816</v>
      </c>
      <c r="V251" s="9" t="n">
        <v>0.0117436284570213</v>
      </c>
      <c r="W251" s="9" t="n">
        <v>0.6324555320336758</v>
      </c>
      <c r="X251" s="9" t="n">
        <v>8.01355519627422</v>
      </c>
      <c r="Y251" s="9" t="n">
        <v>2.29428893309772</v>
      </c>
      <c r="Z251" s="9" t="n">
        <v>15.3414170500209</v>
      </c>
      <c r="AA251" s="9" t="n">
        <v>10.6163382488064</v>
      </c>
      <c r="AB251" s="9" t="n">
        <v>6.961466124490966</v>
      </c>
      <c r="AC251" s="9" t="n">
        <v>-1.99113328723912</v>
      </c>
      <c r="AD251" s="9" t="n">
        <v>19222.79047337962</v>
      </c>
      <c r="AE251" s="9" t="n">
        <v>19222.79047337962</v>
      </c>
      <c r="AF251" s="9" t="n">
        <v>19222.79047337962</v>
      </c>
      <c r="AG251" s="9" t="n">
        <v>19222.79047337962</v>
      </c>
      <c r="AH251" s="8" t="inlineStr">
        <is>
          <t>Moderate (5.0-5.9)</t>
        </is>
      </c>
    </row>
    <row r="252">
      <c r="A252" s="8" t="inlineStr">
        <is>
          <t>1995-04-21 00:02:46.400</t>
        </is>
      </c>
      <c r="B252" s="8" t="n">
        <v>1995</v>
      </c>
      <c r="C252" s="9" t="n">
        <v>12.1</v>
      </c>
      <c r="D252" s="9" t="n">
        <v>126</v>
      </c>
      <c r="E252" s="8" t="n">
        <v>8</v>
      </c>
      <c r="F252" s="9" t="n">
        <v>5.2</v>
      </c>
      <c r="G252" s="9" t="n">
        <v>5</v>
      </c>
      <c r="H252" s="9" t="n">
        <v>4.9</v>
      </c>
      <c r="I252" s="9" t="n">
        <v>4.5</v>
      </c>
      <c r="J252" s="9" t="n">
        <v>0.9030899869919432</v>
      </c>
      <c r="K252" s="9" t="n">
        <v>4.364934937127724</v>
      </c>
      <c r="L252" s="9" t="n">
        <v>0.2219493655858485</v>
      </c>
      <c r="M252" s="9" t="n">
        <v>0.09519404303287909</v>
      </c>
      <c r="N252" s="9" t="n">
        <v>2.171472409516267</v>
      </c>
      <c r="O252" s="9" t="n">
        <v>10.28980307943881</v>
      </c>
      <c r="P252" s="9" t="n">
        <v>1.283218124678506</v>
      </c>
      <c r="Q252" s="9" t="n">
        <v>0.2820322381398618</v>
      </c>
      <c r="R252" s="9" t="n">
        <v>0.06666666666666909</v>
      </c>
      <c r="S252" s="9" t="n">
        <v>0.1613705638880107</v>
      </c>
      <c r="T252" s="9" t="n">
        <v>32463827246.66742</v>
      </c>
      <c r="U252" s="9" t="n">
        <v>0.001953125</v>
      </c>
      <c r="V252" s="9" t="n">
        <v>3.059023205018097e-07</v>
      </c>
      <c r="W252" s="9" t="n">
        <v>-2.5</v>
      </c>
      <c r="X252" s="9" t="n">
        <v>8.078943075289343</v>
      </c>
      <c r="Y252" s="9" t="n">
        <v>28.459644576132</v>
      </c>
      <c r="Z252" s="9" t="n">
        <v>45.7212967091074</v>
      </c>
      <c r="AA252" s="9" t="n">
        <v>10.46946857029626</v>
      </c>
      <c r="AB252" s="9" t="n">
        <v>47.62418516364573</v>
      </c>
      <c r="AC252" s="9" t="n">
        <v>4.323923743796124</v>
      </c>
      <c r="AD252" s="9" t="n">
        <v>7111.649209490744</v>
      </c>
      <c r="AE252" s="9" t="n">
        <v>7961.708119212963</v>
      </c>
      <c r="AF252" s="9" t="n">
        <v>43535.17270833333</v>
      </c>
      <c r="AG252" s="9" t="n">
        <v>43535.17270833333</v>
      </c>
      <c r="AH252" s="8" t="inlineStr">
        <is>
          <t>Moderate (5.0-5.9)</t>
        </is>
      </c>
    </row>
    <row r="253">
      <c r="A253" s="8" t="inlineStr">
        <is>
          <t>1995-04-21 00:09:53.400</t>
        </is>
      </c>
      <c r="B253" s="8" t="n">
        <v>1995</v>
      </c>
      <c r="C253" s="9" t="n">
        <v>12.1</v>
      </c>
      <c r="D253" s="9" t="n">
        <v>125.9</v>
      </c>
      <c r="E253" s="8" t="n">
        <v>15</v>
      </c>
      <c r="F253" s="9" t="n">
        <v>7</v>
      </c>
      <c r="G253" s="9" t="n">
        <v>6</v>
      </c>
      <c r="H253" s="9" t="n">
        <v>5.2</v>
      </c>
      <c r="I253" s="9" t="n">
        <v>4.616666666666666</v>
      </c>
      <c r="J253" s="9" t="n">
        <v>0.8337334825539042</v>
      </c>
      <c r="K253" s="9" t="n">
        <v>4.282467099044361</v>
      </c>
      <c r="L253" s="9" t="n">
        <v>0.2421704201966772</v>
      </c>
      <c r="M253" s="9" t="n">
        <v>0.0738581999191834</v>
      </c>
      <c r="N253" s="9" t="n">
        <v>1.240841376866438</v>
      </c>
      <c r="O253" s="9" t="n">
        <v>6.184991588305278</v>
      </c>
      <c r="P253" s="9" t="n">
        <v>0.5364128131680129</v>
      </c>
      <c r="Q253" s="9" t="n">
        <v>0.1468442943904738</v>
      </c>
      <c r="R253" s="9" t="n">
        <v>0.0635059180707884</v>
      </c>
      <c r="S253" s="9" t="n">
        <v>0.2154856989661624</v>
      </c>
      <c r="T253" s="9" t="n">
        <v>57833966942.18059</v>
      </c>
      <c r="U253" s="9" t="n">
        <v>0.0031535487739366</v>
      </c>
      <c r="V253" s="9" t="n">
        <v>0.0001894418252328</v>
      </c>
      <c r="W253" s="9" t="n">
        <v>-2.520504151250418</v>
      </c>
      <c r="X253" s="9" t="n">
        <v>9.247754350163095</v>
      </c>
      <c r="Y253" s="9" t="n">
        <v>16.2501707691415</v>
      </c>
      <c r="Z253" s="9" t="n">
        <v>40.80944238577976</v>
      </c>
      <c r="AA253" s="9" t="n">
        <v>15.2461698494111</v>
      </c>
      <c r="AB253" s="9" t="n">
        <v>28.47641093677905</v>
      </c>
      <c r="AC253" s="9" t="n">
        <v>0.4069985419072786</v>
      </c>
      <c r="AD253" s="9" t="n">
        <v>7111.654151620376</v>
      </c>
      <c r="AE253" s="9" t="n">
        <v>7961.713061342594</v>
      </c>
      <c r="AF253" s="9" t="n">
        <v>43535.17270833333</v>
      </c>
      <c r="AG253" s="9" t="n">
        <v>43535.17270833333</v>
      </c>
      <c r="AH253" s="8" t="inlineStr">
        <is>
          <t>Major (&gt;=7.0)</t>
        </is>
      </c>
    </row>
    <row r="254">
      <c r="A254" s="8" t="inlineStr">
        <is>
          <t>1995-04-21 00:34:48.400</t>
        </is>
      </c>
      <c r="B254" s="8" t="n">
        <v>1995</v>
      </c>
      <c r="C254" s="9" t="n">
        <v>12.2</v>
      </c>
      <c r="D254" s="9" t="n">
        <v>125.6</v>
      </c>
      <c r="E254" s="8" t="n">
        <v>17</v>
      </c>
      <c r="F254" s="9" t="n">
        <v>7.3</v>
      </c>
      <c r="G254" s="9" t="n">
        <v>8</v>
      </c>
      <c r="H254" s="9" t="n">
        <v>7</v>
      </c>
      <c r="I254" s="9" t="n">
        <v>4.9625</v>
      </c>
      <c r="J254" s="9" t="n">
        <v>0.2629215367173858</v>
      </c>
      <c r="K254" s="9" t="n">
        <v>1.668318161935539</v>
      </c>
      <c r="L254" s="9" t="n">
        <v>0.0500927319336784</v>
      </c>
      <c r="M254" s="9" t="n">
        <v>0.1544226901468144</v>
      </c>
      <c r="N254" s="9" t="n">
        <v>0.5497398505104459</v>
      </c>
      <c r="O254" s="9" t="n">
        <v>3.227773316684071</v>
      </c>
      <c r="P254" s="9" t="n">
        <v>0.2189963284302484</v>
      </c>
      <c r="Q254" s="9" t="n">
        <v>0.2616951249120224</v>
      </c>
      <c r="R254" s="9" t="n">
        <v>0.6546918796963652</v>
      </c>
      <c r="S254" s="9" t="n">
        <v>1.128544049177061</v>
      </c>
      <c r="T254" s="9" t="n">
        <v>1996350789131.82</v>
      </c>
      <c r="U254" s="9" t="n">
        <v>0.1626430050366829</v>
      </c>
      <c r="V254" s="9" t="n">
        <v>0.0224274784718632</v>
      </c>
      <c r="W254" s="9" t="n">
        <v>-2.065591117977289</v>
      </c>
      <c r="X254" s="9" t="n">
        <v>10.83288646656943</v>
      </c>
      <c r="Y254" s="9" t="n">
        <v>16.2501707691415</v>
      </c>
      <c r="Z254" s="9" t="n">
        <v>38.55920200824395</v>
      </c>
      <c r="AA254" s="9" t="n">
        <v>14.43739789822894</v>
      </c>
      <c r="AB254" s="9" t="n">
        <v>22.48420564372436</v>
      </c>
      <c r="AC254" s="9" t="n">
        <v>-0.7270872617792714</v>
      </c>
      <c r="AD254" s="9" t="n">
        <v>0.0173032407401478</v>
      </c>
      <c r="AE254" s="9" t="n">
        <v>0.0173032407401478</v>
      </c>
      <c r="AF254" s="9" t="n">
        <v>0.0173032407401478</v>
      </c>
      <c r="AG254" s="9" t="n">
        <v>43535.17270833333</v>
      </c>
      <c r="AH254" s="8" t="inlineStr">
        <is>
          <t>Major (&gt;=7.0)</t>
        </is>
      </c>
    </row>
    <row r="255">
      <c r="A255" s="8" t="inlineStr">
        <is>
          <t>1995-04-23 05:07:58.400</t>
        </is>
      </c>
      <c r="B255" s="8" t="n">
        <v>1995</v>
      </c>
      <c r="C255" s="9" t="n">
        <v>12.55</v>
      </c>
      <c r="D255" s="9" t="n">
        <v>125.76</v>
      </c>
      <c r="E255" s="8" t="n">
        <v>13</v>
      </c>
      <c r="F255" s="9" t="n">
        <v>6.3</v>
      </c>
      <c r="G255" s="9" t="n">
        <v>32</v>
      </c>
      <c r="H255" s="9" t="n">
        <v>7.3</v>
      </c>
      <c r="I255" s="9" t="n">
        <v>4.646875</v>
      </c>
      <c r="J255" s="9" t="n">
        <v>0.390882339040491</v>
      </c>
      <c r="K255" s="9" t="n">
        <v>2.802597266403373</v>
      </c>
      <c r="L255" s="9" t="n">
        <v>0.0484284918132233</v>
      </c>
      <c r="M255" s="9" t="n">
        <v>0.1353709687402513</v>
      </c>
      <c r="N255" s="9" t="n">
        <v>0.6520938166715498</v>
      </c>
      <c r="O255" s="9" t="n">
        <v>4.136734038692547</v>
      </c>
      <c r="P255" s="9" t="n">
        <v>0.1347811046782853</v>
      </c>
      <c r="Q255" s="9" t="n">
        <v>0.317736548588071</v>
      </c>
      <c r="R255" s="9" t="n">
        <v>0.1300744585110163</v>
      </c>
      <c r="S255" s="9" t="n">
        <v>0.9562287006377792</v>
      </c>
      <c r="T255" s="9" t="n">
        <v>4221620032183.19</v>
      </c>
      <c r="U255" s="9" t="n">
        <v>0.0671974794078785</v>
      </c>
      <c r="V255" s="9" t="n">
        <v>0.0110590685481455</v>
      </c>
      <c r="W255" s="9" t="n">
        <v>-2.234000415358635</v>
      </c>
      <c r="X255" s="9" t="n">
        <v>26.17722344418956</v>
      </c>
      <c r="Y255" s="9" t="n">
        <v>1.48644880613838</v>
      </c>
      <c r="Z255" s="9" t="n">
        <v>35.92132438614127</v>
      </c>
      <c r="AA255" s="9" t="n">
        <v>17.95787315864584</v>
      </c>
      <c r="AB255" s="9" t="n">
        <v>40.46326684257481</v>
      </c>
      <c r="AC255" s="9" t="n">
        <v>0.9706051762491532</v>
      </c>
      <c r="AD255" s="9" t="n">
        <v>2.189699074075179</v>
      </c>
      <c r="AE255" s="9" t="n">
        <v>2.189699074075179</v>
      </c>
      <c r="AF255" s="9" t="n">
        <v>2.189699074075179</v>
      </c>
      <c r="AG255" s="9" t="n">
        <v>43535.17270833333</v>
      </c>
      <c r="AH255" s="8" t="inlineStr">
        <is>
          <t>Strong (6.0-6.9)</t>
        </is>
      </c>
    </row>
    <row r="256">
      <c r="A256" s="8" t="inlineStr">
        <is>
          <t>1995-04-29 09:43:57.200</t>
        </is>
      </c>
      <c r="B256" s="8" t="n">
        <v>1995</v>
      </c>
      <c r="C256" s="9" t="n">
        <v>12.03</v>
      </c>
      <c r="D256" s="9" t="n">
        <v>126.06</v>
      </c>
      <c r="E256" s="8" t="n">
        <v>18</v>
      </c>
      <c r="F256" s="9" t="n">
        <v>6.3</v>
      </c>
      <c r="G256" s="9" t="n">
        <v>63</v>
      </c>
      <c r="H256" s="9" t="n">
        <v>7.3</v>
      </c>
      <c r="I256" s="9" t="n">
        <v>4.580952380952382</v>
      </c>
      <c r="J256" s="9" t="n">
        <v>0.503434176833376</v>
      </c>
      <c r="K256" s="9" t="n">
        <v>3.604089929041245</v>
      </c>
      <c r="L256" s="9" t="n">
        <v>0.0486953254101254</v>
      </c>
      <c r="M256" s="9" t="n">
        <v>0.1167903230352823</v>
      </c>
      <c r="N256" s="9" t="n">
        <v>0.7075161403623179</v>
      </c>
      <c r="O256" s="9" t="n">
        <v>4.643665647457453</v>
      </c>
      <c r="P256" s="9" t="n">
        <v>0.09617774386918861</v>
      </c>
      <c r="Q256" s="9" t="n">
        <v>0.2542395530704245</v>
      </c>
      <c r="R256" s="9" t="n">
        <v>0.1409907493544926</v>
      </c>
      <c r="S256" s="9" t="n">
        <v>0.7366647168226583</v>
      </c>
      <c r="T256" s="9" t="n">
        <v>4250356310065.095</v>
      </c>
      <c r="U256" s="9" t="n">
        <v>0.030881434754716</v>
      </c>
      <c r="V256" s="9" t="n">
        <v>0.0075413930939854</v>
      </c>
      <c r="W256" s="9" t="n">
        <v>-0.4929503017546496</v>
      </c>
      <c r="X256" s="9" t="n">
        <v>38.7554217075845</v>
      </c>
      <c r="Y256" s="9" t="n">
        <v>1.48644880613838</v>
      </c>
      <c r="Z256" s="9" t="n">
        <v>31.85357153315511</v>
      </c>
      <c r="AA256" s="9" t="n">
        <v>17.72719987878346</v>
      </c>
      <c r="AB256" s="9" t="n">
        <v>39.68114871979427</v>
      </c>
      <c r="AC256" s="9" t="n">
        <v>-0.6817554626784107</v>
      </c>
      <c r="AD256" s="9" t="n">
        <v>6.191652777772106</v>
      </c>
      <c r="AE256" s="9" t="n">
        <v>8.381351851847285</v>
      </c>
      <c r="AF256" s="9" t="n">
        <v>8.381351851847285</v>
      </c>
      <c r="AG256" s="9" t="n">
        <v>43535.17270833333</v>
      </c>
      <c r="AH256" s="8" t="inlineStr">
        <is>
          <t>Strong (6.0-6.9)</t>
        </is>
      </c>
    </row>
    <row r="257">
      <c r="A257" s="8" t="inlineStr">
        <is>
          <t>1995-05-05 03:53:47.200</t>
        </is>
      </c>
      <c r="B257" s="8" t="n">
        <v>1995</v>
      </c>
      <c r="C257" s="9" t="n">
        <v>12.8</v>
      </c>
      <c r="D257" s="9" t="n">
        <v>125.5</v>
      </c>
      <c r="E257" s="8" t="n">
        <v>34</v>
      </c>
      <c r="F257" s="9" t="n">
        <v>6.9</v>
      </c>
      <c r="G257" s="9" t="n">
        <v>40</v>
      </c>
      <c r="H257" s="9" t="n">
        <v>6.3</v>
      </c>
      <c r="I257" s="9" t="n">
        <v>4.475</v>
      </c>
      <c r="J257" s="9" t="n">
        <v>0.708703390135182</v>
      </c>
      <c r="K257" s="9" t="n">
        <v>4.34774565337385</v>
      </c>
      <c r="L257" s="9" t="n">
        <v>0.09759771907271431</v>
      </c>
      <c r="M257" s="9" t="n">
        <v>0.08190724782245611</v>
      </c>
      <c r="N257" s="9" t="n">
        <v>0.7841428145475383</v>
      </c>
      <c r="O257" s="9" t="n">
        <v>4.708373169070479</v>
      </c>
      <c r="P257" s="9" t="n">
        <v>0.1194815868465631</v>
      </c>
      <c r="Q257" s="9" t="n">
        <v>0.0979000833216635</v>
      </c>
      <c r="R257" s="9" t="n">
        <v>0.1652111533648277</v>
      </c>
      <c r="S257" s="9" t="n">
        <v>0.2955157635573329</v>
      </c>
      <c r="T257" s="9" t="n">
        <v>521983203856.991</v>
      </c>
      <c r="U257" s="9" t="n">
        <v>0.0074797973138718</v>
      </c>
      <c r="V257" s="9" t="n">
        <v>0.0044419284259342</v>
      </c>
      <c r="W257" s="9" t="n">
        <v>2.73103708065482</v>
      </c>
      <c r="X257" s="9" t="n">
        <v>27.73795867530238</v>
      </c>
      <c r="Y257" s="9" t="n">
        <v>1.48644880613838</v>
      </c>
      <c r="Z257" s="9" t="n">
        <v>27.88860245827481</v>
      </c>
      <c r="AA257" s="9" t="n">
        <v>17.80158620606915</v>
      </c>
      <c r="AB257" s="9" t="n">
        <v>12.10255249619235</v>
      </c>
      <c r="AC257" s="9" t="n">
        <v>-1.120346253376913</v>
      </c>
      <c r="AD257" s="9" t="n">
        <v>11.94848148147867</v>
      </c>
      <c r="AE257" s="9" t="n">
        <v>14.13818055555384</v>
      </c>
      <c r="AF257" s="9" t="n">
        <v>14.13818055555384</v>
      </c>
      <c r="AG257" s="9" t="n">
        <v>43535.17270833333</v>
      </c>
      <c r="AH257" s="8" t="inlineStr">
        <is>
          <t>Strong (6.0-6.9)</t>
        </is>
      </c>
    </row>
    <row r="258">
      <c r="A258" s="8" t="inlineStr">
        <is>
          <t>1995-05-08 18:05:08.500</t>
        </is>
      </c>
      <c r="B258" s="8" t="n">
        <v>1995</v>
      </c>
      <c r="C258" s="9" t="n">
        <v>11.56</v>
      </c>
      <c r="D258" s="9" t="n">
        <v>126.12</v>
      </c>
      <c r="E258" s="8" t="n">
        <v>12</v>
      </c>
      <c r="F258" s="9" t="n">
        <v>5.1</v>
      </c>
      <c r="G258" s="9" t="n">
        <v>16</v>
      </c>
      <c r="H258" s="9" t="n">
        <v>6.3</v>
      </c>
      <c r="I258" s="9" t="n">
        <v>4.49375</v>
      </c>
      <c r="J258" s="9" t="n">
        <v>-0</v>
      </c>
      <c r="K258" s="9" t="n">
        <v>0</v>
      </c>
      <c r="L258" s="9" t="n">
        <v>0</v>
      </c>
      <c r="M258" s="9" t="n">
        <v>0</v>
      </c>
      <c r="N258" s="9" t="n">
        <v/>
      </c>
      <c r="O258" s="9" t="n">
        <v/>
      </c>
      <c r="P258" s="9" t="n">
        <v/>
      </c>
      <c r="Q258" s="9" t="n">
        <v/>
      </c>
      <c r="R258" s="9" t="n">
        <v/>
      </c>
      <c r="S258" s="9" t="n">
        <v/>
      </c>
      <c r="T258" s="9" t="n">
        <v>469624710737.2689</v>
      </c>
      <c r="U258" s="9" t="n">
        <v>1</v>
      </c>
      <c r="V258" s="9" t="n">
        <v/>
      </c>
      <c r="W258" s="9" t="n">
        <v>1.208080899385244</v>
      </c>
      <c r="X258" s="9" t="n">
        <v>9.989513088866536</v>
      </c>
      <c r="Y258" s="9" t="n">
        <v>10.4135195013455</v>
      </c>
      <c r="Z258" s="9" t="n">
        <v>40.93372624783596</v>
      </c>
      <c r="AA258" s="9" t="n">
        <v>17.95083182311669</v>
      </c>
      <c r="AB258" s="9" t="n">
        <v>11.1204216620745</v>
      </c>
      <c r="AC258" s="9" t="n">
        <v>0.2788887008490442</v>
      </c>
      <c r="AD258" s="9" t="n">
        <v>9.348047453702748</v>
      </c>
      <c r="AE258" s="9" t="n">
        <v>17.72939930555003</v>
      </c>
      <c r="AF258" s="9" t="n">
        <v>17.72939930555003</v>
      </c>
      <c r="AG258" s="9" t="n">
        <v>43535.17270833333</v>
      </c>
      <c r="AH258" s="8" t="inlineStr">
        <is>
          <t>Moderate (5.0-5.9)</t>
        </is>
      </c>
    </row>
    <row r="259">
      <c r="A259" s="8" t="inlineStr">
        <is>
          <t>1995-05-08 18:07:28.300</t>
        </is>
      </c>
      <c r="B259" s="8" t="n">
        <v>1995</v>
      </c>
      <c r="C259" s="9" t="n">
        <v>11.69</v>
      </c>
      <c r="D259" s="9" t="n">
        <v>126.2</v>
      </c>
      <c r="E259" s="8" t="n">
        <v>36</v>
      </c>
      <c r="F259" s="9" t="n">
        <v>5.6</v>
      </c>
      <c r="G259" s="9" t="n">
        <v>20</v>
      </c>
      <c r="H259" s="9" t="n">
        <v>6.3</v>
      </c>
      <c r="I259" s="9" t="n">
        <v>4.565</v>
      </c>
      <c r="J259" s="9" t="n">
        <v>0.3899144143310519</v>
      </c>
      <c r="K259" s="9" t="n">
        <v>2.396191561591245</v>
      </c>
      <c r="L259" s="9" t="n">
        <v>0.0454703275376772</v>
      </c>
      <c r="M259" s="9" t="n">
        <v>0.0706913781976572</v>
      </c>
      <c r="N259" s="9" t="n">
        <v>0.4571520862139492</v>
      </c>
      <c r="O259" s="9" t="n">
        <v>2.671451268546619</v>
      </c>
      <c r="P259" s="9" t="n">
        <v>0.0625044465004376</v>
      </c>
      <c r="Q259" s="9" t="n">
        <v>0.2612316877514447</v>
      </c>
      <c r="R259" s="9" t="n">
        <v>0.1545704556672555</v>
      </c>
      <c r="S259" s="9" t="n">
        <v>0.4563183257652961</v>
      </c>
      <c r="T259" s="9" t="n">
        <v>490371628230.3865</v>
      </c>
      <c r="U259" s="9" t="n">
        <v>0.0676482797107042</v>
      </c>
      <c r="V259" s="9" t="n">
        <v>0.0425151525144298</v>
      </c>
      <c r="W259" s="9" t="n">
        <v>1.071884401515745</v>
      </c>
      <c r="X259" s="9" t="n">
        <v>11.53484762720637</v>
      </c>
      <c r="Y259" s="9" t="n">
        <v>4.550266673268681</v>
      </c>
      <c r="Z259" s="9" t="n">
        <v>35.30717511737156</v>
      </c>
      <c r="AA259" s="9" t="n">
        <v>19.89853708642385</v>
      </c>
      <c r="AB259" s="9" t="n">
        <v>11.01763575464599</v>
      </c>
      <c r="AC259" s="9" t="n">
        <v>-0.0324170309694709</v>
      </c>
      <c r="AD259" s="9" t="n">
        <v>9.349665509264014</v>
      </c>
      <c r="AE259" s="9" t="n">
        <v>17.7310173611113</v>
      </c>
      <c r="AF259" s="9" t="n">
        <v>17.7310173611113</v>
      </c>
      <c r="AG259" s="9" t="n">
        <v>43535.17270833333</v>
      </c>
      <c r="AH259" s="8" t="inlineStr">
        <is>
          <t>Moderate (5.0-5.9)</t>
        </is>
      </c>
    </row>
    <row r="260">
      <c r="A260" s="8" t="inlineStr">
        <is>
          <t>1995-05-15 20:04:11.500</t>
        </is>
      </c>
      <c r="B260" s="8" t="n">
        <v>1995</v>
      </c>
      <c r="C260" s="9" t="n">
        <v>11.12</v>
      </c>
      <c r="D260" s="9" t="n">
        <v>126.18</v>
      </c>
      <c r="E260" s="8" t="n">
        <v>8</v>
      </c>
      <c r="F260" s="9" t="n">
        <v>5.5</v>
      </c>
      <c r="G260" s="9" t="n">
        <v>10</v>
      </c>
      <c r="H260" s="9" t="n">
        <v>5.6</v>
      </c>
      <c r="I260" s="9" t="n">
        <v>4.550000000000001</v>
      </c>
      <c r="J260" s="9" t="n">
        <v>0.6385228699619386</v>
      </c>
      <c r="K260" s="9" t="n">
        <v>3.464812329333297</v>
      </c>
      <c r="L260" s="9" t="n">
        <v>0.1392642840564419</v>
      </c>
      <c r="M260" s="9" t="n">
        <v>0.08192158268583501</v>
      </c>
      <c r="N260" s="9" t="n">
        <v>1.002218035161352</v>
      </c>
      <c r="O260" s="9" t="n">
        <v>5.187910605093593</v>
      </c>
      <c r="P260" s="9" t="n">
        <v>0.34309253143335</v>
      </c>
      <c r="Q260" s="9" t="n">
        <v>0.1731147103574794</v>
      </c>
      <c r="R260" s="9" t="n">
        <v>0.1737067655230113</v>
      </c>
      <c r="S260" s="9" t="n">
        <v>0.4235708966678428</v>
      </c>
      <c r="T260" s="9" t="n">
        <v>119450458633.9162</v>
      </c>
      <c r="U260" s="9" t="n">
        <v>0.0121459472351741</v>
      </c>
      <c r="V260" s="9" t="n">
        <v>0.0009847951351168</v>
      </c>
      <c r="W260" s="9" t="n">
        <v>0.4296689244236597</v>
      </c>
      <c r="X260" s="9" t="n">
        <v>7.916692323229696</v>
      </c>
      <c r="Y260" s="9" t="n">
        <v>15.2523695452769</v>
      </c>
      <c r="Z260" s="9" t="n">
        <v>32.68293319086554</v>
      </c>
      <c r="AA260" s="9" t="n">
        <v>14.81548621713388</v>
      </c>
      <c r="AB260" s="9" t="n">
        <v>22.005942086933</v>
      </c>
      <c r="AC260" s="9" t="n">
        <v>-2.987620426912399</v>
      </c>
      <c r="AD260" s="9" t="n">
        <v>10131.19170138889</v>
      </c>
      <c r="AE260" s="9" t="n">
        <v>13972.88425347223</v>
      </c>
      <c r="AF260" s="9" t="n">
        <v>43535.17270833333</v>
      </c>
      <c r="AG260" s="9" t="n">
        <v>43535.17270833333</v>
      </c>
      <c r="AH260" s="8" t="inlineStr">
        <is>
          <t>Moderate (5.0-5.9)</t>
        </is>
      </c>
    </row>
    <row r="261">
      <c r="A261" s="8" t="inlineStr">
        <is>
          <t>1995-05-17 19:33:38.000</t>
        </is>
      </c>
      <c r="B261" s="8" t="n">
        <v>1995</v>
      </c>
      <c r="C261" s="9" t="n">
        <v>12.45</v>
      </c>
      <c r="D261" s="9" t="n">
        <v>126.3</v>
      </c>
      <c r="E261" s="8" t="n">
        <v>13</v>
      </c>
      <c r="F261" s="9" t="n">
        <v>5.6</v>
      </c>
      <c r="G261" s="9" t="n">
        <v>19</v>
      </c>
      <c r="H261" s="9" t="n">
        <v>6.9</v>
      </c>
      <c r="I261" s="9" t="n">
        <v>4.6</v>
      </c>
      <c r="J261" s="9" t="n">
        <v>0.3858570482741145</v>
      </c>
      <c r="K261" s="9" t="n">
        <v>2.444064155351388</v>
      </c>
      <c r="L261" s="9" t="n">
        <v>0.0526348438432652</v>
      </c>
      <c r="M261" s="9" t="n">
        <v>0.1494854409280464</v>
      </c>
      <c r="N261" s="9" t="n">
        <v>0.7767868782009376</v>
      </c>
      <c r="O261" s="9" t="n">
        <v>4.459254949242351</v>
      </c>
      <c r="P261" s="9" t="n">
        <v>0.2133163896714696</v>
      </c>
      <c r="Q261" s="9" t="n">
        <v>0.3607895832316187</v>
      </c>
      <c r="R261" s="9" t="n">
        <v>0.5658817914993399</v>
      </c>
      <c r="S261" s="9" t="n">
        <v>1.159358552026365</v>
      </c>
      <c r="T261" s="9" t="n">
        <v>1626363617787.944</v>
      </c>
      <c r="U261" s="9" t="n">
        <v>0.0695710976074945</v>
      </c>
      <c r="V261" s="9" t="n">
        <v>0.0046734689905193</v>
      </c>
      <c r="W261" s="9" t="n">
        <v>0.5846128222154678</v>
      </c>
      <c r="X261" s="9" t="n">
        <v>9.437805195696216</v>
      </c>
      <c r="Y261" s="9" t="n">
        <v>2.82925867214766</v>
      </c>
      <c r="Z261" s="9" t="n">
        <v>23.41769729938224</v>
      </c>
      <c r="AA261" s="9" t="n">
        <v>19.08374906062521</v>
      </c>
      <c r="AB261" s="9" t="n">
        <v>22.61645714757417</v>
      </c>
      <c r="AC261" s="9" t="n">
        <v>-0.2889463960423696</v>
      </c>
      <c r="AD261" s="9" t="n">
        <v>12.65267129629501</v>
      </c>
      <c r="AE261" s="9" t="n">
        <v>12.65267129629501</v>
      </c>
      <c r="AF261" s="9" t="n">
        <v>26.79085185184886</v>
      </c>
      <c r="AG261" s="9" t="n">
        <v>43535.17270833333</v>
      </c>
      <c r="AH261" s="8" t="inlineStr">
        <is>
          <t>Moderate (5.0-5.9)</t>
        </is>
      </c>
    </row>
    <row r="262">
      <c r="A262" s="8" t="inlineStr">
        <is>
          <t>1996-03-21 21:43:23.600</t>
        </is>
      </c>
      <c r="B262" s="8" t="n">
        <v>1996</v>
      </c>
      <c r="C262" s="9" t="n">
        <v>9.17</v>
      </c>
      <c r="D262" s="9" t="n">
        <v>126.71</v>
      </c>
      <c r="E262" s="8" t="n">
        <v>19</v>
      </c>
      <c r="F262" s="9" t="n">
        <v>5</v>
      </c>
      <c r="G262" s="9" t="n">
        <v>6</v>
      </c>
      <c r="H262" s="9" t="n">
        <v>5.2</v>
      </c>
      <c r="I262" s="9" t="n">
        <v>4.433333333333334</v>
      </c>
      <c r="J262" s="9" t="n">
        <v>0.2809064827110035</v>
      </c>
      <c r="K262" s="9" t="n">
        <v>1.625940693719097</v>
      </c>
      <c r="L262" s="9" t="n">
        <v>0.0420874667117646</v>
      </c>
      <c r="M262" s="9" t="n">
        <v>0.0809926867870016</v>
      </c>
      <c r="N262" s="9" t="n">
        <v>0.6059923003301187</v>
      </c>
      <c r="O262" s="9" t="n">
        <v>3.022288916106161</v>
      </c>
      <c r="P262" s="9" t="n">
        <v>0.1958679934809569</v>
      </c>
      <c r="Q262" s="9" t="n">
        <v>0.1844435133739341</v>
      </c>
      <c r="R262" s="9" t="n">
        <v>-0.5881921343618952</v>
      </c>
      <c r="S262" s="9" t="n">
        <v>0.2126611931211881</v>
      </c>
      <c r="T262" s="9" t="n">
        <v>62505438038.33047</v>
      </c>
      <c r="U262" s="9" t="n">
        <v>0.1436417051285311</v>
      </c>
      <c r="V262" s="9" t="n">
        <v>0.0152062840590658</v>
      </c>
      <c r="W262" s="9" t="n">
        <v>-0.7844645405527361</v>
      </c>
      <c r="X262" s="9" t="n">
        <v>5.902161781301538</v>
      </c>
      <c r="Y262" s="9" t="n">
        <v>30.4271427292996</v>
      </c>
      <c r="Z262" s="9" t="n">
        <v>52.07747087748948</v>
      </c>
      <c r="AA262" s="9" t="n">
        <v>13.86535871429558</v>
      </c>
      <c r="AB262" s="9" t="n">
        <v>41.22903174712522</v>
      </c>
      <c r="AC262" s="9" t="n">
        <v>2.822371408910744</v>
      </c>
      <c r="AD262" s="9" t="n">
        <v>439.988776620372</v>
      </c>
      <c r="AE262" s="9" t="n">
        <v>2288.124752314816</v>
      </c>
      <c r="AF262" s="9" t="n">
        <v>16073.44880324074</v>
      </c>
      <c r="AG262" s="9" t="n">
        <v>16073.44880324074</v>
      </c>
      <c r="AH262" s="8" t="inlineStr">
        <is>
          <t>Moderate (5.0-5.9)</t>
        </is>
      </c>
    </row>
    <row r="263">
      <c r="A263" s="8" t="inlineStr">
        <is>
          <t>1996-03-25 00:00:50.000</t>
        </is>
      </c>
      <c r="B263" s="8" t="n">
        <v>1996</v>
      </c>
      <c r="C263" s="9" t="n">
        <v>9.130000000000001</v>
      </c>
      <c r="D263" s="9" t="n">
        <v>126.52</v>
      </c>
      <c r="E263" s="8" t="n">
        <v>14</v>
      </c>
      <c r="F263" s="9" t="n">
        <v>5.1</v>
      </c>
      <c r="G263" s="9" t="n">
        <v>8</v>
      </c>
      <c r="H263" s="9" t="n">
        <v>5.2</v>
      </c>
      <c r="I263" s="9" t="n">
        <v>4.5625</v>
      </c>
      <c r="J263" s="9" t="n">
        <v>0.4964932969266498</v>
      </c>
      <c r="K263" s="9" t="n">
        <v>2.859741332557386</v>
      </c>
      <c r="L263" s="9" t="n">
        <v>0.1076469852237774</v>
      </c>
      <c r="M263" s="9" t="n">
        <v>0.1237206181579946</v>
      </c>
      <c r="N263" s="9" t="n">
        <v>0.5790593092043358</v>
      </c>
      <c r="O263" s="9" t="n">
        <v>3.131019102994229</v>
      </c>
      <c r="P263" s="9" t="n">
        <v>0.1464270079362614</v>
      </c>
      <c r="Q263" s="9" t="n">
        <v>0.1637421342364328</v>
      </c>
      <c r="R263" s="9" t="n">
        <v>-0.5598790361511652</v>
      </c>
      <c r="S263" s="9" t="n">
        <v>-0.2070784343255756</v>
      </c>
      <c r="T263" s="9" t="n">
        <v>74616507773.89133</v>
      </c>
      <c r="U263" s="9" t="n">
        <v>0.0323981423461054</v>
      </c>
      <c r="V263" s="9" t="n">
        <v>0.0183156388887341</v>
      </c>
      <c r="W263" s="9" t="n">
        <v>-1</v>
      </c>
      <c r="X263" s="9" t="n">
        <v>7.332389771686974</v>
      </c>
      <c r="Y263" s="9" t="n">
        <v>30.4271427292996</v>
      </c>
      <c r="Z263" s="9" t="n">
        <v>48.17719210202385</v>
      </c>
      <c r="AA263" s="9" t="n">
        <v>14.06213641736354</v>
      </c>
      <c r="AB263" s="9" t="n">
        <v>39.40095188733915</v>
      </c>
      <c r="AC263" s="9" t="n">
        <v>1.597349522776788</v>
      </c>
      <c r="AD263" s="9" t="n">
        <v>443.0842210648152</v>
      </c>
      <c r="AE263" s="9" t="n">
        <v>2291.220196759259</v>
      </c>
      <c r="AF263" s="9" t="n">
        <v>16076.54424768518</v>
      </c>
      <c r="AG263" s="9" t="n">
        <v>16076.54424768518</v>
      </c>
      <c r="AH263" s="8" t="inlineStr">
        <is>
          <t>Moderate (5.0-5.9)</t>
        </is>
      </c>
    </row>
    <row r="264">
      <c r="A264" s="8" t="inlineStr">
        <is>
          <t>1996-04-06 04:04:37.500</t>
        </is>
      </c>
      <c r="B264" s="8" t="n">
        <v>1996</v>
      </c>
      <c r="C264" s="9" t="n">
        <v>10.26</v>
      </c>
      <c r="D264" s="9" t="n">
        <v>126.01</v>
      </c>
      <c r="E264" s="8" t="n">
        <v>22</v>
      </c>
      <c r="F264" s="9" t="n">
        <v>5.2</v>
      </c>
      <c r="G264" s="9" t="n">
        <v>4</v>
      </c>
      <c r="H264" s="9" t="n">
        <v>5.4</v>
      </c>
      <c r="I264" s="9" t="n">
        <v>4.425</v>
      </c>
      <c r="J264" s="9" t="n">
        <v>0.3117810669376946</v>
      </c>
      <c r="K264" s="9" t="n">
        <v>1.565714346495159</v>
      </c>
      <c r="L264" s="9" t="n">
        <v>0.0743624955040057</v>
      </c>
      <c r="M264" s="9" t="n">
        <v>0.1228008928097414</v>
      </c>
      <c r="N264" s="9" t="n">
        <v>0.9143041724278992</v>
      </c>
      <c r="O264" s="9" t="n">
        <v>4.25927668103956</v>
      </c>
      <c r="P264" s="9" t="n">
        <v>0.6394931269917572</v>
      </c>
      <c r="Q264" s="9" t="n">
        <v>0.3289055582471891</v>
      </c>
      <c r="R264" s="9" t="n">
        <v>0.3781609195402282</v>
      </c>
      <c r="S264" s="9" t="n">
        <v>0.7415101784680527</v>
      </c>
      <c r="T264" s="9" t="n">
        <v>73039212439.1597</v>
      </c>
      <c r="U264" s="9" t="n">
        <v>0.1160531142709409</v>
      </c>
      <c r="V264" s="9" t="n">
        <v>0.0018075381933252</v>
      </c>
      <c r="W264" s="9" t="n">
        <v>0</v>
      </c>
      <c r="X264" s="9" t="n">
        <v>4.407993072862402</v>
      </c>
      <c r="Y264" s="9" t="n">
        <v>16.924281171513</v>
      </c>
      <c r="Z264" s="9" t="n">
        <v>37.1269995760193</v>
      </c>
      <c r="AA264" s="9" t="n">
        <v>20.23052625395808</v>
      </c>
      <c r="AB264" s="9" t="n">
        <v>18.13322284941076</v>
      </c>
      <c r="AC264" s="9" t="n">
        <v>-1.209616437161328</v>
      </c>
      <c r="AD264" s="9" t="n">
        <v>640.7467210648174</v>
      </c>
      <c r="AE264" s="9" t="n">
        <v>14298.5686863426</v>
      </c>
      <c r="AF264" s="9" t="n">
        <v>17382.18735532408</v>
      </c>
      <c r="AG264" s="9" t="n">
        <v>43535.17270833333</v>
      </c>
      <c r="AH264" s="8" t="inlineStr">
        <is>
          <t>Moderate (5.0-5.9)</t>
        </is>
      </c>
    </row>
    <row r="265">
      <c r="A265" s="8" t="inlineStr">
        <is>
          <t>1996-04-06 04:15:09.600</t>
        </is>
      </c>
      <c r="B265" s="8" t="n">
        <v>1996</v>
      </c>
      <c r="C265" s="9" t="n">
        <v>10.51</v>
      </c>
      <c r="D265" s="9" t="n">
        <v>126.36</v>
      </c>
      <c r="E265" s="8" t="n">
        <v>15</v>
      </c>
      <c r="F265" s="9" t="n">
        <v>5.3</v>
      </c>
      <c r="G265" s="9" t="n">
        <v>5</v>
      </c>
      <c r="H265" s="9" t="n">
        <v>5.4</v>
      </c>
      <c r="I265" s="9" t="n">
        <v>4.58</v>
      </c>
      <c r="J265" s="9" t="n">
        <v>0.2883699891162791</v>
      </c>
      <c r="K265" s="9" t="n">
        <v>1.665984599328536</v>
      </c>
      <c r="L265" s="9" t="n">
        <v>0.0575058693527516</v>
      </c>
      <c r="M265" s="9" t="n">
        <v>0.0851983971792169</v>
      </c>
      <c r="N265" s="9" t="n">
        <v>0.5317891615141866</v>
      </c>
      <c r="O265" s="9" t="n">
        <v>2.710635733079247</v>
      </c>
      <c r="P265" s="9" t="n">
        <v>0.1955649469760662</v>
      </c>
      <c r="Q265" s="9" t="n">
        <v>0.1711785789657752</v>
      </c>
      <c r="R265" s="9" t="n">
        <v>-0.3772468086363965</v>
      </c>
      <c r="S265" s="9" t="n">
        <v>0.3027999642543779</v>
      </c>
      <c r="T265" s="9" t="n">
        <v>87324648333.10506</v>
      </c>
      <c r="U265" s="9" t="n">
        <v>0.1364237655355748</v>
      </c>
      <c r="V265" s="9" t="n">
        <v>0.0253882353423366</v>
      </c>
      <c r="W265" s="9" t="n">
        <v>-0.3464101615137754</v>
      </c>
      <c r="X265" s="9" t="n">
        <v>5.289016160489034</v>
      </c>
      <c r="Y265" s="9" t="n">
        <v>16.924281171513</v>
      </c>
      <c r="Z265" s="9" t="n">
        <v>45.30134708428394</v>
      </c>
      <c r="AA265" s="9" t="n">
        <v>25.31907246155409</v>
      </c>
      <c r="AB265" s="9" t="n">
        <v>37.62305162482132</v>
      </c>
      <c r="AC265" s="9" t="n">
        <v>5.32534017164244</v>
      </c>
      <c r="AD265" s="9" t="n">
        <v>7531.547576388886</v>
      </c>
      <c r="AE265" s="9" t="n">
        <v>14298.57600231481</v>
      </c>
      <c r="AF265" s="9" t="n">
        <v>43535.17270833333</v>
      </c>
      <c r="AG265" s="9" t="n">
        <v>43535.17270833333</v>
      </c>
      <c r="AH265" s="8" t="inlineStr">
        <is>
          <t>Moderate (5.0-5.9)</t>
        </is>
      </c>
    </row>
    <row r="266">
      <c r="A266" s="8" t="inlineStr">
        <is>
          <t>1996-04-21 15:45:40.500</t>
        </is>
      </c>
      <c r="B266" s="8" t="n">
        <v>1996</v>
      </c>
      <c r="C266" s="9" t="n">
        <v>12.8</v>
      </c>
      <c r="D266" s="9" t="n">
        <v>125.49</v>
      </c>
      <c r="E266" s="8" t="n">
        <v>54</v>
      </c>
      <c r="F266" s="9" t="n">
        <v>5.5</v>
      </c>
      <c r="G266" s="9" t="n">
        <v>4</v>
      </c>
      <c r="H266" s="9" t="n">
        <v>5.7</v>
      </c>
      <c r="I266" s="9" t="n">
        <v>4.75</v>
      </c>
      <c r="J266" s="9" t="n">
        <v>0.3495149081639123</v>
      </c>
      <c r="K266" s="9" t="n">
        <v>1.859657289977934</v>
      </c>
      <c r="L266" s="9" t="n">
        <v>0.0906825301874333</v>
      </c>
      <c r="M266" s="9" t="n">
        <v>0.1311681098758944</v>
      </c>
      <c r="N266" s="9" t="n">
        <v>0.8685889638065036</v>
      </c>
      <c r="O266" s="9" t="n">
        <v>4.336992535695928</v>
      </c>
      <c r="P266" s="9" t="n">
        <v>0.5600423037598566</v>
      </c>
      <c r="Q266" s="9" t="n">
        <v>0.2842329531300068</v>
      </c>
      <c r="R266" s="9" t="n">
        <v>0.3793191176102599</v>
      </c>
      <c r="S266" s="9" t="n">
        <v>0.706852819440055</v>
      </c>
      <c r="T266" s="9" t="n">
        <v>136109092724.8878</v>
      </c>
      <c r="U266" s="9" t="n">
        <v>0.0894242436362499</v>
      </c>
      <c r="V266" s="9" t="n">
        <v>0.0024787521766663</v>
      </c>
      <c r="W266" s="9" t="n">
        <v>0</v>
      </c>
      <c r="X266" s="9" t="n">
        <v>0.3701162588052866</v>
      </c>
      <c r="Y266" s="9" t="n">
        <v>10.2626959068597</v>
      </c>
      <c r="Z266" s="9" t="n">
        <v>38.10747534739698</v>
      </c>
      <c r="AA266" s="9" t="n">
        <v>19.81696921382972</v>
      </c>
      <c r="AB266" s="9" t="n">
        <v>49.96470866863465</v>
      </c>
      <c r="AC266" s="9" t="n">
        <v>2.671135388732256</v>
      </c>
      <c r="AD266" s="9" t="n">
        <v>352.4943668981432</v>
      </c>
      <c r="AE266" s="9" t="n">
        <v>352.4943668981432</v>
      </c>
      <c r="AF266" s="9" t="n">
        <v>366.632547453697</v>
      </c>
      <c r="AG266" s="9" t="n">
        <v>43535.17270833333</v>
      </c>
      <c r="AH266" s="8" t="inlineStr">
        <is>
          <t>Moderate (5.0-5.9)</t>
        </is>
      </c>
    </row>
    <row r="267">
      <c r="A267" s="8" t="inlineStr">
        <is>
          <t>1996-06-14 05:15:22.200</t>
        </is>
      </c>
      <c r="B267" s="8" t="n">
        <v>1996</v>
      </c>
      <c r="C267" s="9" t="n">
        <v>12.7</v>
      </c>
      <c r="D267" s="9" t="n">
        <v>124.85</v>
      </c>
      <c r="E267" s="8" t="n">
        <v>7</v>
      </c>
      <c r="F267" s="9" t="n">
        <v>5</v>
      </c>
      <c r="G267" s="9" t="n">
        <v>10</v>
      </c>
      <c r="H267" s="9" t="n">
        <v>7</v>
      </c>
      <c r="I267" s="9" t="n">
        <v>4.63</v>
      </c>
      <c r="J267" s="9" t="n">
        <v>0.1772624456556235</v>
      </c>
      <c r="K267" s="9" t="n">
        <v>1.112633809993469</v>
      </c>
      <c r="L267" s="9" t="n">
        <v>0.0199541744500904</v>
      </c>
      <c r="M267" s="9" t="n">
        <v>0.1214226868285307</v>
      </c>
      <c r="N267" s="9" t="n">
        <v>0.4825494243369467</v>
      </c>
      <c r="O267" s="9" t="n">
        <v>2.725277458410528</v>
      </c>
      <c r="P267" s="9" t="n">
        <v>0.1478713012677633</v>
      </c>
      <c r="Q267" s="9" t="n">
        <v>0.2907813403338602</v>
      </c>
      <c r="R267" s="9" t="n">
        <v>0.723240103800455</v>
      </c>
      <c r="S267" s="9" t="n">
        <v>1.352335074992099</v>
      </c>
      <c r="T267" s="9" t="n">
        <v>1995642314620.606</v>
      </c>
      <c r="U267" s="9" t="n">
        <v>0.293908849701572</v>
      </c>
      <c r="V267" s="9" t="n">
        <v>0.0356739933472523</v>
      </c>
      <c r="W267" s="9" t="n">
        <v>-1.125087900926024</v>
      </c>
      <c r="X267" s="9" t="n">
        <v>9.650044302490103</v>
      </c>
      <c r="Y267" s="9" t="n">
        <v>23.1582030032574</v>
      </c>
      <c r="Z267" s="9" t="n">
        <v>44.48168097459933</v>
      </c>
      <c r="AA267" s="9" t="n">
        <v>13.83684831011405</v>
      </c>
      <c r="AB267" s="9" t="n">
        <v>40.65161732319473</v>
      </c>
      <c r="AC267" s="9" t="n">
        <v>3.179457633965581</v>
      </c>
      <c r="AD267" s="9" t="n">
        <v>2.453084490742185</v>
      </c>
      <c r="AE267" s="9" t="n">
        <v>2.453084490742185</v>
      </c>
      <c r="AF267" s="9" t="n">
        <v>2.453084490742185</v>
      </c>
      <c r="AG267" s="9" t="n">
        <v>43535.17270833333</v>
      </c>
      <c r="AH267" s="8" t="inlineStr">
        <is>
          <t>Moderate (5.0-5.9)</t>
        </is>
      </c>
    </row>
    <row r="268">
      <c r="A268" s="8" t="inlineStr">
        <is>
          <t>1996-06-26 00:21:28.800</t>
        </is>
      </c>
      <c r="B268" s="8" t="n">
        <v>1996</v>
      </c>
      <c r="C268" s="9" t="n">
        <v>12.71</v>
      </c>
      <c r="D268" s="9" t="n">
        <v>124.62</v>
      </c>
      <c r="E268" s="8" t="n">
        <v>20</v>
      </c>
      <c r="F268" s="9" t="n">
        <v>5.4</v>
      </c>
      <c r="G268" s="9" t="n">
        <v>11</v>
      </c>
      <c r="H268" s="9" t="n">
        <v>5.5</v>
      </c>
      <c r="I268" s="9" t="n">
        <v>4.418181818181818</v>
      </c>
      <c r="J268" s="9" t="n">
        <v>0.6936730411003416</v>
      </c>
      <c r="K268" s="9" t="n">
        <v>3.684355805538741</v>
      </c>
      <c r="L268" s="9" t="n">
        <v>0.1549537625119217</v>
      </c>
      <c r="M268" s="9" t="n">
        <v>0.08654597551280591</v>
      </c>
      <c r="N268" s="9" t="n">
        <v>0.9074810069620204</v>
      </c>
      <c r="O268" s="9" t="n">
        <v>4.656518269254742</v>
      </c>
      <c r="P268" s="9" t="n">
        <v>0.2651963740289043</v>
      </c>
      <c r="Q268" s="9" t="n">
        <v>0.1318400176114594</v>
      </c>
      <c r="R268" s="9" t="n">
        <v>0.1886276570667693</v>
      </c>
      <c r="S268" s="9" t="n">
        <v>0.3687430000949581</v>
      </c>
      <c r="T268" s="9" t="n">
        <v>97319667017.26842</v>
      </c>
      <c r="U268" s="9" t="n">
        <v>0.008298142274769301</v>
      </c>
      <c r="V268" s="9" t="n">
        <v>0.0018947720907427</v>
      </c>
      <c r="W268" s="9" t="n">
        <v>1.807392228230128</v>
      </c>
      <c r="X268" s="9" t="n">
        <v>9.984902832208981</v>
      </c>
      <c r="Y268" s="9" t="n">
        <v>31.7020155501718</v>
      </c>
      <c r="Z268" s="9" t="n">
        <v>53.66455685751544</v>
      </c>
      <c r="AA268" s="9" t="n">
        <v>12.28762597979085</v>
      </c>
      <c r="AB268" s="9" t="n">
        <v>69.27159663827192</v>
      </c>
      <c r="AC268" s="9" t="n">
        <v>-0.5552442118970954</v>
      </c>
      <c r="AD268" s="9" t="n">
        <v>14.24899421296868</v>
      </c>
      <c r="AE268" s="9" t="n">
        <v>14.24899421296868</v>
      </c>
      <c r="AF268" s="9" t="n">
        <v>14.24899421296868</v>
      </c>
      <c r="AG268" s="9" t="n">
        <v>43535.17270833333</v>
      </c>
      <c r="AH268" s="8" t="inlineStr">
        <is>
          <t>Moderate (5.0-5.9)</t>
        </is>
      </c>
    </row>
    <row r="269">
      <c r="A269" s="8" t="inlineStr">
        <is>
          <t>1996-08-08 23:12:30.400</t>
        </is>
      </c>
      <c r="B269" s="8" t="n">
        <v>1996</v>
      </c>
      <c r="C269" s="9" t="n">
        <v>12.07</v>
      </c>
      <c r="D269" s="9" t="n">
        <v>126.08</v>
      </c>
      <c r="E269" s="8" t="n">
        <v>8</v>
      </c>
      <c r="F269" s="9" t="n">
        <v>5.2</v>
      </c>
      <c r="G269" s="9" t="n">
        <v>5</v>
      </c>
      <c r="H269" s="9" t="n">
        <v>4.9</v>
      </c>
      <c r="I269" s="9" t="n">
        <v>4.48</v>
      </c>
      <c r="J269" s="9" t="n">
        <v>0.9858651726511466</v>
      </c>
      <c r="K269" s="9" t="n">
        <v>4.818161398915213</v>
      </c>
      <c r="L269" s="9" t="n">
        <v>0.3192845980436266</v>
      </c>
      <c r="M269" s="9" t="n">
        <v>0.06891409162637641</v>
      </c>
      <c r="N269" s="9" t="n">
        <v>1.336290713548466</v>
      </c>
      <c r="O269" s="9" t="n">
        <v>6.348110059586367</v>
      </c>
      <c r="P269" s="9" t="n">
        <v>0.586603730269772</v>
      </c>
      <c r="Q269" s="9" t="n">
        <v>0.166411089407296</v>
      </c>
      <c r="R269" s="9" t="n">
        <v>0.0127582832057875</v>
      </c>
      <c r="S269" s="9" t="n">
        <v>0.1494543326360355</v>
      </c>
      <c r="T269" s="9" t="n">
        <v>33334897510.06413</v>
      </c>
      <c r="U269" s="9" t="n">
        <v>0.0011025657108453</v>
      </c>
      <c r="V269" s="9" t="n">
        <v>9.797783966128992e-05</v>
      </c>
      <c r="W269" s="9" t="n">
        <v>-1.083472677771923</v>
      </c>
      <c r="X269" s="9" t="n">
        <v>3.863221404593347</v>
      </c>
      <c r="Y269" s="9" t="n">
        <v>8.33011985676389</v>
      </c>
      <c r="Z269" s="9" t="n">
        <v>38.41707916837686</v>
      </c>
      <c r="AA269" s="9" t="n">
        <v>21.49940278690966</v>
      </c>
      <c r="AB269" s="9" t="n">
        <v>21.15701685890591</v>
      </c>
      <c r="AC269" s="9" t="n">
        <v>-2.262916578704167</v>
      </c>
      <c r="AD269" s="9" t="n">
        <v>467.5614953703735</v>
      </c>
      <c r="AE269" s="9" t="n">
        <v>475.9428472222207</v>
      </c>
      <c r="AF269" s="9" t="n">
        <v>475.9428472222207</v>
      </c>
      <c r="AG269" s="9" t="n">
        <v>43535.17270833333</v>
      </c>
      <c r="AH269" s="8" t="inlineStr">
        <is>
          <t>Moderate (5.0-5.9)</t>
        </is>
      </c>
    </row>
    <row r="270">
      <c r="A270" s="8" t="inlineStr">
        <is>
          <t>1996-09-20 04:10:29.100</t>
        </is>
      </c>
      <c r="B270" s="8" t="n">
        <v>1996</v>
      </c>
      <c r="C270" s="9" t="n">
        <v>9.460000000000001</v>
      </c>
      <c r="D270" s="9" t="n">
        <v>126.51</v>
      </c>
      <c r="E270" s="8" t="n">
        <v>58</v>
      </c>
      <c r="F270" s="9" t="n">
        <v>6.3</v>
      </c>
      <c r="G270" s="9" t="n">
        <v>4</v>
      </c>
      <c r="H270" s="9" t="n">
        <v>5.9</v>
      </c>
      <c r="I270" s="9" t="n">
        <v>5.2</v>
      </c>
      <c r="J270" s="9" t="n">
        <v>0.3969020546503596</v>
      </c>
      <c r="K270" s="9" t="n">
        <v>2.34762467137171</v>
      </c>
      <c r="L270" s="9" t="n">
        <v>0.1210755098229183</v>
      </c>
      <c r="M270" s="9" t="n">
        <v>0.1035418300606006</v>
      </c>
      <c r="N270" s="9" t="n">
        <v>0.4571520862139492</v>
      </c>
      <c r="O270" s="9" t="n">
        <v>2.567813962047944</v>
      </c>
      <c r="P270" s="9" t="n">
        <v>0.1606242172175508</v>
      </c>
      <c r="Q270" s="9" t="n">
        <v>0.1366322349505144</v>
      </c>
      <c r="R270" s="9" t="n">
        <v>-0.0148715504629661</v>
      </c>
      <c r="S270" s="9" t="n">
        <v>0.2830203569361034</v>
      </c>
      <c r="T270" s="9" t="n">
        <v>221992870808.2422</v>
      </c>
      <c r="U270" s="9" t="n">
        <v>0.06446052466431169</v>
      </c>
      <c r="V270" s="9" t="n">
        <v>0.0425151525144298</v>
      </c>
      <c r="W270" s="9" t="n">
        <v>-0.8660254037844386</v>
      </c>
      <c r="X270" s="9" t="n">
        <v>2.338945681121801</v>
      </c>
      <c r="Y270" s="9" t="n">
        <v>46.40148101515459</v>
      </c>
      <c r="Z270" s="9" t="n">
        <v>57.84720494715513</v>
      </c>
      <c r="AA270" s="9" t="n">
        <v>7.995978180243683</v>
      </c>
      <c r="AB270" s="9" t="n">
        <v>61.47632187869904</v>
      </c>
      <c r="AC270" s="9" t="n">
        <v>0.1401401235472814</v>
      </c>
      <c r="AD270" s="9" t="n">
        <v>622.2575902777826</v>
      </c>
      <c r="AE270" s="9" t="n">
        <v>14465.57275578704</v>
      </c>
      <c r="AF270" s="9" t="n">
        <v>16255.71761689815</v>
      </c>
      <c r="AG270" s="9" t="n">
        <v>16255.71761689815</v>
      </c>
      <c r="AH270" s="8" t="inlineStr">
        <is>
          <t>Strong (6.0-6.9)</t>
        </is>
      </c>
    </row>
    <row r="271">
      <c r="A271" s="8" t="inlineStr">
        <is>
          <t>1996-09-20 12:24:41.000</t>
        </is>
      </c>
      <c r="B271" s="8" t="n">
        <v>1996</v>
      </c>
      <c r="C271" s="9" t="n">
        <v>9.550000000000001</v>
      </c>
      <c r="D271" s="9" t="n">
        <v>126.75</v>
      </c>
      <c r="E271" s="8" t="n">
        <v>21</v>
      </c>
      <c r="F271" s="9" t="n">
        <v>5.8</v>
      </c>
      <c r="G271" s="9" t="n">
        <v>8</v>
      </c>
      <c r="H271" s="9" t="n">
        <v>6.3</v>
      </c>
      <c r="I271" s="9" t="n">
        <v>5.025</v>
      </c>
      <c r="J271" s="9" t="n">
        <v>0.4172161941594479</v>
      </c>
      <c r="K271" s="9" t="n">
        <v>2.646519100601613</v>
      </c>
      <c r="L271" s="9" t="n">
        <v>0.1151810427704914</v>
      </c>
      <c r="M271" s="9" t="n">
        <v>0.0695827991167738</v>
      </c>
      <c r="N271" s="9" t="n">
        <v>0.4251834088563305</v>
      </c>
      <c r="O271" s="9" t="n">
        <v>2.630868357210845</v>
      </c>
      <c r="P271" s="9" t="n">
        <v>0.1196220692818183</v>
      </c>
      <c r="Q271" s="9" t="n">
        <v>0.08783923460435181</v>
      </c>
      <c r="R271" s="9" t="n">
        <v>-0.0432799053581094</v>
      </c>
      <c r="S271" s="9" t="n">
        <v>0.1123917763220729</v>
      </c>
      <c r="T271" s="9" t="n">
        <v>518116227833.0862</v>
      </c>
      <c r="U271" s="9" t="n">
        <v>0.0560210723153232</v>
      </c>
      <c r="V271" s="9" t="n">
        <v>0.0530212269531085</v>
      </c>
      <c r="W271" s="9" t="n">
        <v>-1</v>
      </c>
      <c r="X271" s="9" t="n">
        <v>5.633192144144715</v>
      </c>
      <c r="Y271" s="9" t="n">
        <v>39.5162727344629</v>
      </c>
      <c r="Z271" s="9" t="n">
        <v>56.18167114617708</v>
      </c>
      <c r="AA271" s="9" t="n">
        <v>11.40102832255785</v>
      </c>
      <c r="AB271" s="9" t="n">
        <v>55.85712471083519</v>
      </c>
      <c r="AC271" s="9" t="n">
        <v>-0.0974738197328049</v>
      </c>
      <c r="AD271" s="9" t="n">
        <v>0.3431932870335004</v>
      </c>
      <c r="AE271" s="9" t="n">
        <v>14465.91594907408</v>
      </c>
      <c r="AF271" s="9" t="n">
        <v>16256.06081018518</v>
      </c>
      <c r="AG271" s="9" t="n">
        <v>16256.06081018518</v>
      </c>
      <c r="AH271" s="8" t="inlineStr">
        <is>
          <t>Moderate (5.0-5.9)</t>
        </is>
      </c>
    </row>
    <row r="272">
      <c r="A272" s="8" t="inlineStr">
        <is>
          <t>1996-09-20 18:51:10.800</t>
        </is>
      </c>
      <c r="B272" s="8" t="n">
        <v>1996</v>
      </c>
      <c r="C272" s="9" t="n">
        <v>9.789999999999999</v>
      </c>
      <c r="D272" s="9" t="n">
        <v>126.56</v>
      </c>
      <c r="E272" s="8" t="n">
        <v>21</v>
      </c>
      <c r="F272" s="9" t="n">
        <v>5.2</v>
      </c>
      <c r="G272" s="9" t="n">
        <v>20</v>
      </c>
      <c r="H272" s="9" t="n">
        <v>6.3</v>
      </c>
      <c r="I272" s="9" t="n">
        <v>4.705</v>
      </c>
      <c r="J272" s="9" t="n">
        <v>0.5509970277474192</v>
      </c>
      <c r="K272" s="9" t="n">
        <v>3.497247427893835</v>
      </c>
      <c r="L272" s="9" t="n">
        <v>0.1058349806261729</v>
      </c>
      <c r="M272" s="9" t="n">
        <v>0.09433182911949201</v>
      </c>
      <c r="N272" s="9" t="n">
        <v>0.5868844350043941</v>
      </c>
      <c r="O272" s="9" t="n">
        <v>3.640979957519773</v>
      </c>
      <c r="P272" s="9" t="n">
        <v>0.1200703856423669</v>
      </c>
      <c r="Q272" s="9" t="n">
        <v>0.0983406933758481</v>
      </c>
      <c r="R272" s="9" t="n">
        <v>-0.0471257589015481</v>
      </c>
      <c r="S272" s="9" t="n">
        <v>0.0960870311844059</v>
      </c>
      <c r="T272" s="9" t="n">
        <v>546061799500.106</v>
      </c>
      <c r="U272" s="9" t="n">
        <v>0.0222335553921482</v>
      </c>
      <c r="V272" s="9" t="n">
        <v>0.0173518863691257</v>
      </c>
      <c r="W272" s="9" t="n">
        <v>-1.006230589874906</v>
      </c>
      <c r="X272" s="9" t="n">
        <v>12.85037795935401</v>
      </c>
      <c r="Y272" s="9" t="n">
        <v>7.10596008679602</v>
      </c>
      <c r="Z272" s="9" t="n">
        <v>43.16534488097559</v>
      </c>
      <c r="AA272" s="9" t="n">
        <v>17.1247046216123</v>
      </c>
      <c r="AB272" s="9" t="n">
        <v>52.56405830443389</v>
      </c>
      <c r="AC272" s="9" t="n">
        <v>-1.837295188909452</v>
      </c>
      <c r="AD272" s="9" t="n">
        <v>0.6115937499998836</v>
      </c>
      <c r="AE272" s="9" t="n">
        <v>14466.18434953704</v>
      </c>
      <c r="AF272" s="9" t="n">
        <v>16256.32921064815</v>
      </c>
      <c r="AG272" s="9" t="n">
        <v>16256.32921064815</v>
      </c>
      <c r="AH272" s="8" t="inlineStr">
        <is>
          <t>Moderate (5.0-5.9)</t>
        </is>
      </c>
    </row>
    <row r="273">
      <c r="A273" s="8" t="inlineStr">
        <is>
          <t>1996-09-20 19:24:52.800</t>
        </is>
      </c>
      <c r="B273" s="8" t="n">
        <v>1996</v>
      </c>
      <c r="C273" s="9" t="n">
        <v>9.59</v>
      </c>
      <c r="D273" s="9" t="n">
        <v>126.98</v>
      </c>
      <c r="E273" s="8" t="n">
        <v>15</v>
      </c>
      <c r="F273" s="9" t="n">
        <v>5.1</v>
      </c>
      <c r="G273" s="9" t="n">
        <v>22</v>
      </c>
      <c r="H273" s="9" t="n">
        <v>6.3</v>
      </c>
      <c r="I273" s="9" t="n">
        <v>4.704545454545455</v>
      </c>
      <c r="J273" s="9" t="n">
        <v>0.5922591725062076</v>
      </c>
      <c r="K273" s="9" t="n">
        <v>3.74527129386262</v>
      </c>
      <c r="L273" s="9" t="n">
        <v>0.114030386343838</v>
      </c>
      <c r="M273" s="9" t="n">
        <v>0.092056046981167</v>
      </c>
      <c r="N273" s="9" t="n">
        <v>0.6038318999724364</v>
      </c>
      <c r="O273" s="9" t="n">
        <v>3.770803712185557</v>
      </c>
      <c r="P273" s="9" t="n">
        <v>0.1185302253847639</v>
      </c>
      <c r="Q273" s="9" t="n">
        <v>0.09122554398825319</v>
      </c>
      <c r="R273" s="9" t="n">
        <v>-0.0237033172725835</v>
      </c>
      <c r="S273" s="9" t="n">
        <v>0.0552095005949739</v>
      </c>
      <c r="T273" s="9" t="n">
        <v>548188529916.0683</v>
      </c>
      <c r="U273" s="9" t="n">
        <v>0.0167194690802157</v>
      </c>
      <c r="V273" s="9" t="n">
        <v>0.0154349170583302</v>
      </c>
      <c r="W273" s="9" t="n">
        <v>-1.005884876357959</v>
      </c>
      <c r="X273" s="9" t="n">
        <v>15.53505558094883</v>
      </c>
      <c r="Y273" s="9" t="n">
        <v>7.10596008679602</v>
      </c>
      <c r="Z273" s="9" t="n">
        <v>44.17071743485526</v>
      </c>
      <c r="AA273" s="9" t="n">
        <v>17.66688441190665</v>
      </c>
      <c r="AB273" s="9" t="n">
        <v>52.31664858112002</v>
      </c>
      <c r="AC273" s="9" t="n">
        <v>-1.675172037882536</v>
      </c>
      <c r="AD273" s="9" t="n">
        <v>0.6349965277768206</v>
      </c>
      <c r="AE273" s="9" t="n">
        <v>16256.35261342593</v>
      </c>
      <c r="AF273" s="9" t="n">
        <v>16256.35261342593</v>
      </c>
      <c r="AG273" s="9" t="n">
        <v>16256.35261342593</v>
      </c>
      <c r="AH273" s="8" t="inlineStr">
        <is>
          <t>Moderate (5.0-5.9)</t>
        </is>
      </c>
    </row>
    <row r="274">
      <c r="A274" s="8" t="inlineStr">
        <is>
          <t>1996-09-20 20:15:19.200</t>
        </is>
      </c>
      <c r="B274" s="8" t="n">
        <v>1996</v>
      </c>
      <c r="C274" s="9" t="n">
        <v>9.800000000000001</v>
      </c>
      <c r="D274" s="9" t="n">
        <v>126.94</v>
      </c>
      <c r="E274" s="8" t="n">
        <v>10</v>
      </c>
      <c r="F274" s="9" t="n">
        <v>5.2</v>
      </c>
      <c r="G274" s="9" t="n">
        <v>25</v>
      </c>
      <c r="H274" s="9" t="n">
        <v>6.3</v>
      </c>
      <c r="I274" s="9" t="n">
        <v>4.688</v>
      </c>
      <c r="J274" s="9" t="n">
        <v>0.6306894634472638</v>
      </c>
      <c r="K274" s="9" t="n">
        <v>3.972583815419459</v>
      </c>
      <c r="L274" s="9" t="n">
        <v>0.1164821625544119</v>
      </c>
      <c r="M274" s="9" t="n">
        <v>0.090680165545414</v>
      </c>
      <c r="N274" s="9" t="n">
        <v>0.6418145052757424</v>
      </c>
      <c r="O274" s="9" t="n">
        <v>4.000075082268948</v>
      </c>
      <c r="P274" s="9" t="n">
        <v>0.1206277785551858</v>
      </c>
      <c r="Q274" s="9" t="n">
        <v>0.08858899049222491</v>
      </c>
      <c r="R274" s="9" t="n">
        <v>0.0012047201393698</v>
      </c>
      <c r="S274" s="9" t="n">
        <v>0.06755269725417259</v>
      </c>
      <c r="T274" s="9" t="n">
        <v>549676004353.9863</v>
      </c>
      <c r="U274" s="9" t="n">
        <v>0.0128212866408309</v>
      </c>
      <c r="V274" s="9" t="n">
        <v>0.0118728910936576</v>
      </c>
      <c r="W274" s="9" t="n">
        <v>-1.005399435785452</v>
      </c>
      <c r="X274" s="9" t="n">
        <v>17.83818120525684</v>
      </c>
      <c r="Y274" s="9" t="n">
        <v>4.28536492909224</v>
      </c>
      <c r="Z274" s="9" t="n">
        <v>42.38306954655884</v>
      </c>
      <c r="AA274" s="9" t="n">
        <v>19.01343885234938</v>
      </c>
      <c r="AB274" s="9" t="n">
        <v>52.02010780738964</v>
      </c>
      <c r="AC274" s="9" t="n">
        <v>-1.918746769409902</v>
      </c>
      <c r="AD274" s="9" t="n">
        <v>0.6700243055493047</v>
      </c>
      <c r="AE274" s="9" t="n">
        <v>14466.89198148148</v>
      </c>
      <c r="AF274" s="9" t="n">
        <v>16256.3876412037</v>
      </c>
      <c r="AG274" s="9" t="n">
        <v>16256.3876412037</v>
      </c>
      <c r="AH274" s="8" t="inlineStr">
        <is>
          <t>Moderate (5.0-5.9)</t>
        </is>
      </c>
    </row>
    <row r="275">
      <c r="A275" s="8" t="inlineStr">
        <is>
          <t>1996-09-20 21:25:17.200</t>
        </is>
      </c>
      <c r="B275" s="8" t="n">
        <v>1996</v>
      </c>
      <c r="C275" s="9" t="n">
        <v>9.77</v>
      </c>
      <c r="D275" s="9" t="n">
        <v>126.97</v>
      </c>
      <c r="E275" s="8" t="n">
        <v>18</v>
      </c>
      <c r="F275" s="9" t="n">
        <v>5.7</v>
      </c>
      <c r="G275" s="9" t="n">
        <v>27</v>
      </c>
      <c r="H275" s="9" t="n">
        <v>6.3</v>
      </c>
      <c r="I275" s="9" t="n">
        <v>4.703703703703703</v>
      </c>
      <c r="J275" s="9" t="n">
        <v>0.6751309078692939</v>
      </c>
      <c r="K275" s="9" t="n">
        <v>4.236633992959966</v>
      </c>
      <c r="L275" s="9" t="n">
        <v>0.1250575611084576</v>
      </c>
      <c r="M275" s="9" t="n">
        <v>0.0915062020828134</v>
      </c>
      <c r="N275" s="9" t="n">
        <v>0.6562672170982486</v>
      </c>
      <c r="O275" s="9" t="n">
        <v>4.118024676610569</v>
      </c>
      <c r="P275" s="9" t="n">
        <v>0.1181667779616343</v>
      </c>
      <c r="Q275" s="9" t="n">
        <v>0.08666346108235599</v>
      </c>
      <c r="R275" s="9" t="n">
        <v>0.0247222078296793</v>
      </c>
      <c r="S275" s="9" t="n">
        <v>0.0250794046686833</v>
      </c>
      <c r="T275" s="9" t="n">
        <v>551928549258.9832</v>
      </c>
      <c r="U275" s="9" t="n">
        <v>0.0094320756723807</v>
      </c>
      <c r="V275" s="9" t="n">
        <v>0.0107448003119867</v>
      </c>
      <c r="W275" s="9" t="n">
        <v>-1.005105501410433</v>
      </c>
      <c r="X275" s="9" t="n">
        <v>18.90803465249692</v>
      </c>
      <c r="Y275" s="9" t="n">
        <v>4.28536492909224</v>
      </c>
      <c r="Z275" s="9" t="n">
        <v>40.6369260784057</v>
      </c>
      <c r="AA275" s="9" t="n">
        <v>19.58566964419552</v>
      </c>
      <c r="AB275" s="9" t="n">
        <v>51.35387687058555</v>
      </c>
      <c r="AC275" s="9" t="n">
        <v>-2.172118707237157</v>
      </c>
      <c r="AD275" s="9" t="n">
        <v>0.7186122685125156</v>
      </c>
      <c r="AE275" s="9" t="n">
        <v>14466.94056944444</v>
      </c>
      <c r="AF275" s="9" t="n">
        <v>16256.43622916666</v>
      </c>
      <c r="AG275" s="9" t="n">
        <v>16256.43622916666</v>
      </c>
      <c r="AH275" s="8" t="inlineStr">
        <is>
          <t>Moderate (5.0-5.9)</t>
        </is>
      </c>
    </row>
    <row r="276">
      <c r="A276" s="8" t="inlineStr">
        <is>
          <t>1996-09-21 00:40:21.800</t>
        </is>
      </c>
      <c r="B276" s="8" t="n">
        <v>1996</v>
      </c>
      <c r="C276" s="9" t="n">
        <v>9.49</v>
      </c>
      <c r="D276" s="9" t="n">
        <v>127.27</v>
      </c>
      <c r="E276" s="8" t="n">
        <v>6</v>
      </c>
      <c r="F276" s="9" t="n">
        <v>5.7</v>
      </c>
      <c r="G276" s="9" t="n">
        <v>28</v>
      </c>
      <c r="H276" s="9" t="n">
        <v>6.3</v>
      </c>
      <c r="I276" s="9" t="n">
        <v>4.692857142857142</v>
      </c>
      <c r="J276" s="9" t="n">
        <v>0.723582055127475</v>
      </c>
      <c r="K276" s="9" t="n">
        <v>4.476620336454846</v>
      </c>
      <c r="L276" s="9" t="n">
        <v>0.1354063429356004</v>
      </c>
      <c r="M276" s="9" t="n">
        <v>0.0932592654099067</v>
      </c>
      <c r="N276" s="9" t="n">
        <v>0.6917965198458883</v>
      </c>
      <c r="O276" s="9" t="n">
        <v>4.299177192425215</v>
      </c>
      <c r="P276" s="9" t="n">
        <v>0.1237713645724008</v>
      </c>
      <c r="Q276" s="9" t="n">
        <v>0.0890940471883496</v>
      </c>
      <c r="R276" s="9" t="n">
        <v>0.1132513033837048</v>
      </c>
      <c r="S276" s="9" t="n">
        <v>0.0854888408762972</v>
      </c>
      <c r="T276" s="9" t="n">
        <v>530401489249.4064</v>
      </c>
      <c r="U276" s="9" t="n">
        <v>0.006749223882468</v>
      </c>
      <c r="V276" s="9" t="n">
        <v>0.0084064075365607</v>
      </c>
      <c r="W276" s="9" t="n">
        <v>-1.101325864713565</v>
      </c>
      <c r="X276" s="9" t="n">
        <v>21.49006619105944</v>
      </c>
      <c r="Y276" s="9" t="n">
        <v>4.28536492909224</v>
      </c>
      <c r="Z276" s="9" t="n">
        <v>36.13717809310564</v>
      </c>
      <c r="AA276" s="9" t="n">
        <v>18.61804409391902</v>
      </c>
      <c r="AB276" s="9" t="n">
        <v>45.43031922611782</v>
      </c>
      <c r="AC276" s="9" t="n">
        <v>-2.499770738006436</v>
      </c>
      <c r="AD276" s="9" t="n">
        <v>0.8540821759270329</v>
      </c>
      <c r="AE276" s="9" t="n">
        <v>16256.57169907408</v>
      </c>
      <c r="AF276" s="9" t="n">
        <v>16256.57169907408</v>
      </c>
      <c r="AG276" s="9" t="n">
        <v>16256.57169907408</v>
      </c>
      <c r="AH276" s="8" t="inlineStr">
        <is>
          <t>Moderate (5.0-5.9)</t>
        </is>
      </c>
    </row>
    <row r="277">
      <c r="A277" s="8" t="inlineStr">
        <is>
          <t>1996-09-21 18:17:19.200</t>
        </is>
      </c>
      <c r="B277" s="8" t="n">
        <v>1996</v>
      </c>
      <c r="C277" s="9" t="n">
        <v>9.44</v>
      </c>
      <c r="D277" s="9" t="n">
        <v>127</v>
      </c>
      <c r="E277" s="8" t="n">
        <v>21</v>
      </c>
      <c r="F277" s="9" t="n">
        <v>5.7</v>
      </c>
      <c r="G277" s="9" t="n">
        <v>40</v>
      </c>
      <c r="H277" s="9" t="n">
        <v>6.3</v>
      </c>
      <c r="I277" s="9" t="n">
        <v>4.717499999999999</v>
      </c>
      <c r="J277" s="9" t="n">
        <v>0.7945953486515048</v>
      </c>
      <c r="K277" s="9" t="n">
        <v>5.004309773849839</v>
      </c>
      <c r="L277" s="9" t="n">
        <v>0.1320427471144246</v>
      </c>
      <c r="M277" s="9" t="n">
        <v>0.1049363293735659</v>
      </c>
      <c r="N277" s="9" t="n">
        <v>0.7000567767992727</v>
      </c>
      <c r="O277" s="9" t="n">
        <v>4.511613582075787</v>
      </c>
      <c r="P277" s="9" t="n">
        <v>0.1024917815681732</v>
      </c>
      <c r="Q277" s="9" t="n">
        <v>0.1118883052280785</v>
      </c>
      <c r="R277" s="9" t="n">
        <v>0.0020651047824866</v>
      </c>
      <c r="S277" s="9" t="n">
        <v>-0.1446395372434237</v>
      </c>
      <c r="T277" s="9" t="n">
        <v>586674643546.7661</v>
      </c>
      <c r="U277" s="9" t="n">
        <v>0.0041325103889817</v>
      </c>
      <c r="V277" s="9" t="n">
        <v>0.007940167600882401</v>
      </c>
      <c r="W277" s="9" t="n">
        <v>-1.560034571786324</v>
      </c>
      <c r="X277" s="9" t="n">
        <v>24.65488310221518</v>
      </c>
      <c r="Y277" s="9" t="n">
        <v>4.28536492909224</v>
      </c>
      <c r="Z277" s="9" t="n">
        <v>36.29184062969235</v>
      </c>
      <c r="AA277" s="9" t="n">
        <v>18.77950827809119</v>
      </c>
      <c r="AB277" s="9" t="n">
        <v>47.7956890777126</v>
      </c>
      <c r="AC277" s="9" t="n">
        <v>-2.917817653373872</v>
      </c>
      <c r="AD277" s="9" t="n">
        <v>1.588079861106962</v>
      </c>
      <c r="AE277" s="9" t="n">
        <v>16257.30569675926</v>
      </c>
      <c r="AF277" s="9" t="n">
        <v>16257.30569675926</v>
      </c>
      <c r="AG277" s="9" t="n">
        <v>16257.30569675926</v>
      </c>
      <c r="AH277" s="8" t="inlineStr">
        <is>
          <t>Moderate (5.0-5.9)</t>
        </is>
      </c>
    </row>
    <row r="278">
      <c r="A278" s="8" t="inlineStr">
        <is>
          <t>1996-09-22 14:05:26.400</t>
        </is>
      </c>
      <c r="B278" s="8" t="n">
        <v>1996</v>
      </c>
      <c r="C278" s="9" t="n">
        <v>9.51</v>
      </c>
      <c r="D278" s="9" t="n">
        <v>126.75</v>
      </c>
      <c r="E278" s="8" t="n">
        <v>43</v>
      </c>
      <c r="F278" s="9" t="n">
        <v>5</v>
      </c>
      <c r="G278" s="9" t="n">
        <v>43</v>
      </c>
      <c r="H278" s="9" t="n">
        <v>6.3</v>
      </c>
      <c r="I278" s="9" t="n">
        <v>4.732558139534883</v>
      </c>
      <c r="J278" s="9" t="n">
        <v>0.8176795919003594</v>
      </c>
      <c r="K278" s="9" t="n">
        <v>5.166294322373206</v>
      </c>
      <c r="L278" s="9" t="n">
        <v>0.1361386055126884</v>
      </c>
      <c r="M278" s="9" t="n">
        <v>0.123590171492691</v>
      </c>
      <c r="N278" s="9" t="n">
        <v>0.6753104544340122</v>
      </c>
      <c r="O278" s="9" t="n">
        <v>4.43376399740861</v>
      </c>
      <c r="P278" s="9" t="n">
        <v>0.0928585562003667</v>
      </c>
      <c r="Q278" s="9" t="n">
        <v>0.1406014333451941</v>
      </c>
      <c r="R278" s="9" t="n">
        <v>-0.018238064822289</v>
      </c>
      <c r="S278" s="9" t="n">
        <v>-0.2655195596292286</v>
      </c>
      <c r="T278" s="9" t="n">
        <v>602562152163.8325</v>
      </c>
      <c r="U278" s="9" t="n">
        <v>0.0035233941124231</v>
      </c>
      <c r="V278" s="9" t="n">
        <v>0.009420384662489701</v>
      </c>
      <c r="W278" s="9" t="n">
        <v>-1.497108323847454</v>
      </c>
      <c r="X278" s="9" t="n">
        <v>24.49852354076988</v>
      </c>
      <c r="Y278" s="9" t="n">
        <v>4.28536492909224</v>
      </c>
      <c r="Z278" s="9" t="n">
        <v>35.67546824652535</v>
      </c>
      <c r="AA278" s="9" t="n">
        <v>18.25960569832315</v>
      </c>
      <c r="AB278" s="9" t="n">
        <v>46.43045768881448</v>
      </c>
      <c r="AC278" s="9" t="n">
        <v>-3.016665199995984</v>
      </c>
      <c r="AD278" s="9" t="n">
        <v>2.413163194443769</v>
      </c>
      <c r="AE278" s="9" t="n">
        <v>14467.98591898148</v>
      </c>
      <c r="AF278" s="9" t="n">
        <v>16258.13078009259</v>
      </c>
      <c r="AG278" s="9" t="n">
        <v>16258.13078009259</v>
      </c>
      <c r="AH278" s="8" t="inlineStr">
        <is>
          <t>Moderate (5.0-5.9)</t>
        </is>
      </c>
    </row>
    <row r="279">
      <c r="A279" s="8" t="inlineStr">
        <is>
          <t>1996-09-25 09:26:41.500</t>
        </is>
      </c>
      <c r="B279" s="8" t="n">
        <v>1996</v>
      </c>
      <c r="C279" s="9" t="n">
        <v>9.75</v>
      </c>
      <c r="D279" s="9" t="n">
        <v>126.75</v>
      </c>
      <c r="E279" s="8" t="n">
        <v>7</v>
      </c>
      <c r="F279" s="9" t="n">
        <v>6</v>
      </c>
      <c r="G279" s="9" t="n">
        <v>49</v>
      </c>
      <c r="H279" s="9" t="n">
        <v>6.3</v>
      </c>
      <c r="I279" s="9" t="n">
        <v>4.693877551020408</v>
      </c>
      <c r="J279" s="9" t="n">
        <v>0.8423773626875922</v>
      </c>
      <c r="K279" s="9" t="n">
        <v>5.306863443260577</v>
      </c>
      <c r="L279" s="9" t="n">
        <v>0.1303725995070335</v>
      </c>
      <c r="M279" s="9" t="n">
        <v>0.1155421703988964</v>
      </c>
      <c r="N279" s="9" t="n">
        <v>0.7330801996320881</v>
      </c>
      <c r="O279" s="9" t="n">
        <v>4.744066818259076</v>
      </c>
      <c r="P279" s="9" t="n">
        <v>0.0987360909143581</v>
      </c>
      <c r="Q279" s="9" t="n">
        <v>0.1257882623261021</v>
      </c>
      <c r="R279" s="9" t="n">
        <v>0.0001352620289924</v>
      </c>
      <c r="S279" s="9" t="n">
        <v>-0.1714158432324133</v>
      </c>
      <c r="T279" s="9" t="n">
        <v>602582773019.1185</v>
      </c>
      <c r="U279" s="9" t="n">
        <v>0.0029707623547625</v>
      </c>
      <c r="V279" s="9" t="n">
        <v>0.0063206159260035</v>
      </c>
      <c r="W279" s="9" t="n">
        <v>-1.85253895226336</v>
      </c>
      <c r="X279" s="9" t="n">
        <v>26.36653826752069</v>
      </c>
      <c r="Y279" s="9" t="n">
        <v>4.28536492909224</v>
      </c>
      <c r="Z279" s="9" t="n">
        <v>34.79355557103038</v>
      </c>
      <c r="AA279" s="9" t="n">
        <v>16.23782538214368</v>
      </c>
      <c r="AB279" s="9" t="n">
        <v>46.09976229613586</v>
      </c>
      <c r="AC279" s="9" t="n">
        <v>-1.819080800184142</v>
      </c>
      <c r="AD279" s="9" t="n">
        <v>5.219587962965306</v>
      </c>
      <c r="AE279" s="9" t="n">
        <v>14470.79234375001</v>
      </c>
      <c r="AF279" s="9" t="n">
        <v>16260.93720486112</v>
      </c>
      <c r="AG279" s="9" t="n">
        <v>16260.93720486112</v>
      </c>
      <c r="AH279" s="8" t="inlineStr">
        <is>
          <t>Strong (6.0-6.9)</t>
        </is>
      </c>
    </row>
    <row r="280">
      <c r="A280" s="8" t="inlineStr">
        <is>
          <t>1996-09-26 03:45:21.600</t>
        </is>
      </c>
      <c r="B280" s="8" t="n">
        <v>1996</v>
      </c>
      <c r="C280" s="9" t="n">
        <v>9.710000000000001</v>
      </c>
      <c r="D280" s="9" t="n">
        <v>127.11</v>
      </c>
      <c r="E280" s="8" t="n">
        <v>8</v>
      </c>
      <c r="F280" s="9" t="n">
        <v>5.5</v>
      </c>
      <c r="G280" s="9" t="n">
        <v>54</v>
      </c>
      <c r="H280" s="9" t="n">
        <v>6.3</v>
      </c>
      <c r="I280" s="9" t="n">
        <v>4.703703703703704</v>
      </c>
      <c r="J280" s="9" t="n">
        <v>0.8148309404487745</v>
      </c>
      <c r="K280" s="9" t="n">
        <v>5.224117180460978</v>
      </c>
      <c r="L280" s="9" t="n">
        <v>0.1178293277145359</v>
      </c>
      <c r="M280" s="9" t="n">
        <v>0.1158903558575161</v>
      </c>
      <c r="N280" s="9" t="n">
        <v>0.7320681471717692</v>
      </c>
      <c r="O280" s="9" t="n">
        <v>4.789301571622779</v>
      </c>
      <c r="P280" s="9" t="n">
        <v>0.0951089524635344</v>
      </c>
      <c r="Q280" s="9" t="n">
        <v>0.1190636972823425</v>
      </c>
      <c r="R280" s="9" t="n">
        <v>-0.111289656703212</v>
      </c>
      <c r="S280" s="9" t="n">
        <v>-0.2421526535821803</v>
      </c>
      <c r="T280" s="9" t="n">
        <v>653396006651.0258</v>
      </c>
      <c r="U280" s="9" t="n">
        <v>0.0035934133642488</v>
      </c>
      <c r="V280" s="9" t="n">
        <v>0.0063649582379227</v>
      </c>
      <c r="W280" s="9" t="n">
        <v>-1.811139543384942</v>
      </c>
      <c r="X280" s="9" t="n">
        <v>31.93531331132995</v>
      </c>
      <c r="Y280" s="9" t="n">
        <v>4.28536492909224</v>
      </c>
      <c r="Z280" s="9" t="n">
        <v>35.48958069167051</v>
      </c>
      <c r="AA280" s="9" t="n">
        <v>16.71646669824926</v>
      </c>
      <c r="AB280" s="9" t="n">
        <v>41.38519226430935</v>
      </c>
      <c r="AC280" s="9" t="n">
        <v>-1.208852835993713</v>
      </c>
      <c r="AD280" s="9" t="n">
        <v>0.7629641203639039</v>
      </c>
      <c r="AE280" s="9" t="n">
        <v>16261.70016898148</v>
      </c>
      <c r="AF280" s="9" t="n">
        <v>16261.70016898148</v>
      </c>
      <c r="AG280" s="9" t="n">
        <v>16261.70016898148</v>
      </c>
      <c r="AH280" s="8" t="inlineStr">
        <is>
          <t>Moderate (5.0-5.9)</t>
        </is>
      </c>
    </row>
    <row r="281">
      <c r="A281" s="8" t="inlineStr">
        <is>
          <t>1996-10-02 09:48:01.700</t>
        </is>
      </c>
      <c r="B281" s="8" t="n">
        <v>1996</v>
      </c>
      <c r="C281" s="9" t="n">
        <v>11.93</v>
      </c>
      <c r="D281" s="9" t="n">
        <v>125.64</v>
      </c>
      <c r="E281" s="8" t="n">
        <v>19</v>
      </c>
      <c r="F281" s="9" t="n">
        <v>6.2</v>
      </c>
      <c r="G281" s="9" t="n">
        <v>3</v>
      </c>
      <c r="H281" s="9" t="n">
        <v>4.4</v>
      </c>
      <c r="I281" s="9" t="n">
        <v>4.2</v>
      </c>
      <c r="J281" s="9" t="n">
        <v>1.2552725051033</v>
      </c>
      <c r="K281" s="9" t="n">
        <v>5.487980770643385</v>
      </c>
      <c r="L281" s="9" t="n">
        <v>0.4184785835288506</v>
      </c>
      <c r="M281" s="9" t="n">
        <v>0.06779651486832559</v>
      </c>
      <c r="N281" s="9" t="n">
        <v>1.737177927613007</v>
      </c>
      <c r="O281" s="9" t="n">
        <v>7.425832965171692</v>
      </c>
      <c r="P281" s="9" t="n">
        <v>0.8014673033488809</v>
      </c>
      <c r="Q281" s="9" t="n">
        <v>0.140283966938501</v>
      </c>
      <c r="R281" s="9" t="n">
        <v>0.0280562600295608</v>
      </c>
      <c r="S281" s="9" t="n">
        <v>0.1253469278329726</v>
      </c>
      <c r="T281" s="9" t="n">
        <v>11633276172.76789</v>
      </c>
      <c r="U281" s="9" t="n">
        <v>0.0001714677640603</v>
      </c>
      <c r="V281" s="9" t="n">
        <v>6.144212353328218e-06</v>
      </c>
      <c r="W281" s="9" t="n">
        <v>-0.6123724356957945</v>
      </c>
      <c r="X281" s="9" t="n">
        <v>1.116003966215044</v>
      </c>
      <c r="Y281" s="9" t="n">
        <v>5.773519159669769</v>
      </c>
      <c r="Z281" s="9" t="n">
        <v>18.61789583013052</v>
      </c>
      <c r="AA281" s="9" t="n">
        <v>11.81761656714988</v>
      </c>
      <c r="AB281" s="9" t="n">
        <v>23.41421945193957</v>
      </c>
      <c r="AC281" s="9" t="n">
        <v>1.886416107905037</v>
      </c>
      <c r="AD281" s="9" t="n">
        <v>516.246001157404</v>
      </c>
      <c r="AE281" s="9" t="n">
        <v>516.246001157404</v>
      </c>
      <c r="AF281" s="9" t="n">
        <v>530.3841817129578</v>
      </c>
      <c r="AG281" s="9" t="n">
        <v>43535.17270833333</v>
      </c>
      <c r="AH281" s="8" t="inlineStr">
        <is>
          <t>Strong (6.0-6.9)</t>
        </is>
      </c>
    </row>
    <row r="282">
      <c r="A282" s="8" t="inlineStr">
        <is>
          <t>1996-10-08 19:52:28.600</t>
        </is>
      </c>
      <c r="B282" s="8" t="n">
        <v>1996</v>
      </c>
      <c r="C282" s="9" t="n">
        <v>9.199999999999999</v>
      </c>
      <c r="D282" s="9" t="n">
        <v>126.55</v>
      </c>
      <c r="E282" s="8" t="n">
        <v>5</v>
      </c>
      <c r="F282" s="9" t="n">
        <v>5.2</v>
      </c>
      <c r="G282" s="9" t="n">
        <v>14</v>
      </c>
      <c r="H282" s="9" t="n">
        <v>6</v>
      </c>
      <c r="I282" s="9" t="n">
        <v>4.521428571428571</v>
      </c>
      <c r="J282" s="9" t="n">
        <v>0.5515010944824044</v>
      </c>
      <c r="K282" s="9" t="n">
        <v>3.203389000483333</v>
      </c>
      <c r="L282" s="9" t="n">
        <v>0.1102873306886601</v>
      </c>
      <c r="M282" s="9" t="n">
        <v>0.0803161360359968</v>
      </c>
      <c r="N282" s="9" t="n">
        <v>0.7755258605415216</v>
      </c>
      <c r="O282" s="9" t="n">
        <v>4.257208614274391</v>
      </c>
      <c r="P282" s="9" t="n">
        <v>0.2180848198169081</v>
      </c>
      <c r="Q282" s="9" t="n">
        <v>0.1660979573934188</v>
      </c>
      <c r="R282" s="9" t="n">
        <v>0.1915092598505499</v>
      </c>
      <c r="S282" s="9" t="n">
        <v>0.5105523479233351</v>
      </c>
      <c r="T282" s="9" t="n">
        <v>269262133958.5207</v>
      </c>
      <c r="U282" s="9" t="n">
        <v>0.0221562734518376</v>
      </c>
      <c r="V282" s="9" t="n">
        <v>0.0047143564735492</v>
      </c>
      <c r="W282" s="9" t="n">
        <v>1.885618083164126</v>
      </c>
      <c r="X282" s="9" t="n">
        <v>5.632975850713192</v>
      </c>
      <c r="Y282" s="9" t="n">
        <v>14.3813148791247</v>
      </c>
      <c r="Z282" s="9" t="n">
        <v>37.59347552266318</v>
      </c>
      <c r="AA282" s="9" t="n">
        <v>16.80370000887774</v>
      </c>
      <c r="AB282" s="9" t="n">
        <v>17.22344852117432</v>
      </c>
      <c r="AC282" s="9" t="n">
        <v>1.249138942630274</v>
      </c>
      <c r="AD282" s="9" t="n">
        <v>13.43457291665982</v>
      </c>
      <c r="AE282" s="9" t="n">
        <v>2489.047726851852</v>
      </c>
      <c r="AF282" s="9" t="n">
        <v>16274.37177777778</v>
      </c>
      <c r="AG282" s="9" t="n">
        <v>16274.37177777778</v>
      </c>
      <c r="AH282" s="8" t="inlineStr">
        <is>
          <t>Moderate (5.0-5.9)</t>
        </is>
      </c>
    </row>
    <row r="283">
      <c r="A283" s="8" t="inlineStr">
        <is>
          <t>1996-10-31 18:42:37.900</t>
        </is>
      </c>
      <c r="B283" s="8" t="n">
        <v>1996</v>
      </c>
      <c r="C283" s="9" t="n">
        <v>10.02</v>
      </c>
      <c r="D283" s="9" t="n">
        <v>126.78</v>
      </c>
      <c r="E283" s="8" t="n">
        <v>109</v>
      </c>
      <c r="F283" s="9" t="n">
        <v>5.4</v>
      </c>
      <c r="G283" s="9" t="n">
        <v>12</v>
      </c>
      <c r="H283" s="9" t="n">
        <v>4.8</v>
      </c>
      <c r="I283" s="9" t="n">
        <v>4.391666666666668</v>
      </c>
      <c r="J283" s="9" t="n">
        <v>1.505149978319898</v>
      </c>
      <c r="K283" s="9" t="n">
        <v>7.174548229991507</v>
      </c>
      <c r="L283" s="9" t="n">
        <v>0.2829229912190915</v>
      </c>
      <c r="M283" s="9" t="n">
        <v>0.0868998745153757</v>
      </c>
      <c r="N283" s="9" t="n">
        <v>2.895296546021706</v>
      </c>
      <c r="O283" s="9" t="n">
        <v>13.61939410736383</v>
      </c>
      <c r="P283" s="9" t="n">
        <v>1.046874911887568</v>
      </c>
      <c r="Q283" s="9" t="n">
        <v>0.4582160135119273</v>
      </c>
      <c r="R283" s="9" t="n">
        <v>0.0333333333333358</v>
      </c>
      <c r="S283" s="9" t="n">
        <v>0.0960279229160088</v>
      </c>
      <c r="T283" s="9" t="n">
        <v>36337231021.32603</v>
      </c>
      <c r="U283" s="9" t="n">
        <v>3.051757812500175e-05</v>
      </c>
      <c r="V283" s="9" t="n">
        <v>2.061153622438169e-09</v>
      </c>
      <c r="W283" s="9" t="n">
        <v>0.6928203230275508</v>
      </c>
      <c r="X283" s="9" t="n">
        <v>4.129672417697952</v>
      </c>
      <c r="Y283" s="9" t="n">
        <v>26.6112671243715</v>
      </c>
      <c r="Z283" s="9" t="n">
        <v>50.99374132423575</v>
      </c>
      <c r="AA283" s="9" t="n">
        <v>13.11900771724764</v>
      </c>
      <c r="AB283" s="9" t="n">
        <v>47.26568400400875</v>
      </c>
      <c r="AC283" s="9" t="n">
        <v>0.3592196660484945</v>
      </c>
      <c r="AD283" s="9" t="n">
        <v>36.38606944444109</v>
      </c>
      <c r="AE283" s="9" t="n">
        <v>14507.17841319445</v>
      </c>
      <c r="AF283" s="9" t="n">
        <v>16297.32327430556</v>
      </c>
      <c r="AG283" s="9" t="n">
        <v>16297.32327430556</v>
      </c>
      <c r="AH283" s="8" t="inlineStr">
        <is>
          <t>Moderate (5.0-5.9)</t>
        </is>
      </c>
    </row>
    <row r="284">
      <c r="A284" s="8" t="inlineStr">
        <is>
          <t>1996-10-31 19:37:53.700</t>
        </is>
      </c>
      <c r="B284" s="8" t="n">
        <v>1996</v>
      </c>
      <c r="C284" s="9" t="n">
        <v>9.92</v>
      </c>
      <c r="D284" s="9" t="n">
        <v>126.44</v>
      </c>
      <c r="E284" s="8" t="n">
        <v>14</v>
      </c>
      <c r="F284" s="9" t="n">
        <v>5.2</v>
      </c>
      <c r="G284" s="9" t="n">
        <v>14</v>
      </c>
      <c r="H284" s="9" t="n">
        <v>5.4</v>
      </c>
      <c r="I284" s="9" t="n">
        <v>4.457142857142857</v>
      </c>
      <c r="J284" s="9" t="n">
        <v>0.5689391661997595</v>
      </c>
      <c r="K284" s="9" t="n">
        <v>2.964604858337421</v>
      </c>
      <c r="L284" s="9" t="n">
        <v>0.0642212796036</v>
      </c>
      <c r="M284" s="9" t="n">
        <v>0.1032376928784223</v>
      </c>
      <c r="N284" s="9" t="n">
        <v>1.132942126704139</v>
      </c>
      <c r="O284" s="9" t="n">
        <v>5.688655037558704</v>
      </c>
      <c r="P284" s="9" t="n">
        <v>0.2546611770232509</v>
      </c>
      <c r="Q284" s="9" t="n">
        <v>0.192096362139639</v>
      </c>
      <c r="R284" s="9" t="n">
        <v>0.1892410393547736</v>
      </c>
      <c r="S284" s="9" t="n">
        <v>0.3788652893438922</v>
      </c>
      <c r="T284" s="9" t="n">
        <v>81384415265.95078</v>
      </c>
      <c r="U284" s="9" t="n">
        <v>0.0196418550329596</v>
      </c>
      <c r="V284" s="9" t="n">
        <v>0.0003991844542591</v>
      </c>
      <c r="W284" s="9" t="n">
        <v>0.3188964020716403</v>
      </c>
      <c r="X284" s="9" t="n">
        <v>4.617222593065757</v>
      </c>
      <c r="Y284" s="9" t="n">
        <v>26.6112671243715</v>
      </c>
      <c r="Z284" s="9" t="n">
        <v>49.15507236299607</v>
      </c>
      <c r="AA284" s="9" t="n">
        <v>13.52697671697667</v>
      </c>
      <c r="AB284" s="9" t="n">
        <v>34.31408210620169</v>
      </c>
      <c r="AC284" s="9" t="n">
        <v>-0.4332252339069166</v>
      </c>
      <c r="AD284" s="9" t="n">
        <v>36.42444675925071</v>
      </c>
      <c r="AE284" s="9" t="n">
        <v>14507.21679050926</v>
      </c>
      <c r="AF284" s="9" t="n">
        <v>16297.36165162037</v>
      </c>
      <c r="AG284" s="9" t="n">
        <v>16297.36165162037</v>
      </c>
      <c r="AH284" s="8" t="inlineStr">
        <is>
          <t>Moderate (5.0-5.9)</t>
        </is>
      </c>
    </row>
    <row r="285">
      <c r="A285" s="8" t="inlineStr">
        <is>
          <t>1996-11-04 05:15:02.600</t>
        </is>
      </c>
      <c r="B285" s="8" t="n">
        <v>1996</v>
      </c>
      <c r="C285" s="9" t="n">
        <v>9.68</v>
      </c>
      <c r="D285" s="9" t="n">
        <v>126.56</v>
      </c>
      <c r="E285" s="8" t="n">
        <v>7</v>
      </c>
      <c r="F285" s="9" t="n">
        <v>5</v>
      </c>
      <c r="G285" s="9" t="n">
        <v>23</v>
      </c>
      <c r="H285" s="9" t="n">
        <v>5.4</v>
      </c>
      <c r="I285" s="9" t="n">
        <v>4.443478260869566</v>
      </c>
      <c r="J285" s="9" t="n">
        <v>0.8967018736185999</v>
      </c>
      <c r="K285" s="9" t="n">
        <v>4.848320615726725</v>
      </c>
      <c r="L285" s="9" t="n">
        <v>0.13400019152818</v>
      </c>
      <c r="M285" s="9" t="n">
        <v>0.0640152639604632</v>
      </c>
      <c r="N285" s="9" t="n">
        <v>1.009987167216867</v>
      </c>
      <c r="O285" s="9" t="n">
        <v>5.34491097353361</v>
      </c>
      <c r="P285" s="9" t="n">
        <v>0.1699968899533503</v>
      </c>
      <c r="Q285" s="9" t="n">
        <v>0.129430438218113</v>
      </c>
      <c r="R285" s="9" t="n">
        <v>-0.0068367183861743</v>
      </c>
      <c r="S285" s="9" t="n">
        <v>0.107941697653338</v>
      </c>
      <c r="T285" s="9" t="n">
        <v>99909242387.69228</v>
      </c>
      <c r="U285" s="9" t="n">
        <v>0.0020412414523193</v>
      </c>
      <c r="V285" s="9" t="n">
        <v>0.0009333370334683</v>
      </c>
      <c r="W285" s="9" t="n">
        <v>-0.6919735266348835</v>
      </c>
      <c r="X285" s="9" t="n">
        <v>8.081077310795797</v>
      </c>
      <c r="Y285" s="9" t="n">
        <v>22.2775027240746</v>
      </c>
      <c r="Z285" s="9" t="n">
        <v>45.08196958656358</v>
      </c>
      <c r="AA285" s="9" t="n">
        <v>13.80465935765265</v>
      </c>
      <c r="AB285" s="9" t="n">
        <v>38.15455534464265</v>
      </c>
      <c r="AC285" s="9" t="n">
        <v>-2.290562357358848</v>
      </c>
      <c r="AD285" s="9" t="n">
        <v>39.82524421295602</v>
      </c>
      <c r="AE285" s="9" t="n">
        <v>14510.61758796296</v>
      </c>
      <c r="AF285" s="9" t="n">
        <v>16300.76244907407</v>
      </c>
      <c r="AG285" s="9" t="n">
        <v>16300.76244907407</v>
      </c>
      <c r="AH285" s="8" t="inlineStr">
        <is>
          <t>Moderate (5.0-5.9)</t>
        </is>
      </c>
    </row>
    <row r="286">
      <c r="A286" s="8" t="inlineStr">
        <is>
          <t>1996-11-04 12:53:35.800</t>
        </is>
      </c>
      <c r="B286" s="8" t="n">
        <v>1996</v>
      </c>
      <c r="C286" s="9" t="n">
        <v>9.890000000000001</v>
      </c>
      <c r="D286" s="9" t="n">
        <v>126.48</v>
      </c>
      <c r="E286" s="8" t="n">
        <v>3</v>
      </c>
      <c r="F286" s="9" t="n">
        <v>5.6</v>
      </c>
      <c r="G286" s="9" t="n">
        <v>29</v>
      </c>
      <c r="H286" s="9" t="n">
        <v>5.4</v>
      </c>
      <c r="I286" s="9" t="n">
        <v>4.437931034482758</v>
      </c>
      <c r="J286" s="9" t="n">
        <v>1.160721175766595</v>
      </c>
      <c r="K286" s="9" t="n">
        <v>6.256509491912018</v>
      </c>
      <c r="L286" s="9" t="n">
        <v>0.2013462368549775</v>
      </c>
      <c r="M286" s="9" t="n">
        <v>0.0605895286042893</v>
      </c>
      <c r="N286" s="9" t="n">
        <v>1.316043884555308</v>
      </c>
      <c r="O286" s="9" t="n">
        <v>6.966684351099038</v>
      </c>
      <c r="P286" s="9" t="n">
        <v>0.2588382439149518</v>
      </c>
      <c r="Q286" s="9" t="n">
        <v>0.1112296812044113</v>
      </c>
      <c r="R286" s="9" t="n">
        <v>0.0098084341573869</v>
      </c>
      <c r="S286" s="9" t="n">
        <v>0.1063434336362707</v>
      </c>
      <c r="T286" s="9" t="n">
        <v>107525769827.457</v>
      </c>
      <c r="U286" s="9" t="n">
        <v>0.0003294856257751</v>
      </c>
      <c r="V286" s="9" t="n">
        <v>0.0001126855805078</v>
      </c>
      <c r="W286" s="9" t="n">
        <v>-1.235762288522732</v>
      </c>
      <c r="X286" s="9" t="n">
        <v>10.61897812022623</v>
      </c>
      <c r="Y286" s="9" t="n">
        <v>19.7588734373472</v>
      </c>
      <c r="Z286" s="9" t="n">
        <v>44.42860244344808</v>
      </c>
      <c r="AA286" s="9" t="n">
        <v>14.43575480686528</v>
      </c>
      <c r="AB286" s="9" t="n">
        <v>37.43543406752608</v>
      </c>
      <c r="AC286" s="9" t="n">
        <v>-1.76948631426901</v>
      </c>
      <c r="AD286" s="9" t="n">
        <v>40.14368402777473</v>
      </c>
      <c r="AE286" s="9" t="n">
        <v>14510.93602777778</v>
      </c>
      <c r="AF286" s="9" t="n">
        <v>16301.08088888889</v>
      </c>
      <c r="AG286" s="9" t="n">
        <v>16301.08088888889</v>
      </c>
      <c r="AH286" s="8" t="inlineStr">
        <is>
          <t>Moderate (5.0-5.9)</t>
        </is>
      </c>
    </row>
    <row r="287">
      <c r="A287" s="8" t="inlineStr">
        <is>
          <t>1996-11-04 13:21:13.000</t>
        </is>
      </c>
      <c r="B287" s="8" t="n">
        <v>1996</v>
      </c>
      <c r="C287" s="9" t="n">
        <v>9.83</v>
      </c>
      <c r="D287" s="9" t="n">
        <v>126.64</v>
      </c>
      <c r="E287" s="8" t="n">
        <v>6</v>
      </c>
      <c r="F287" s="9" t="n">
        <v>6.9</v>
      </c>
      <c r="G287" s="9" t="n">
        <v>31</v>
      </c>
      <c r="H287" s="9" t="n">
        <v>5.6</v>
      </c>
      <c r="I287" s="9" t="n">
        <v>4.46774193548387</v>
      </c>
      <c r="J287" s="9" t="n">
        <v>0.9576884472689507</v>
      </c>
      <c r="K287" s="9" t="n">
        <v>5.380452331057514</v>
      </c>
      <c r="L287" s="9" t="n">
        <v>0.1516720067041697</v>
      </c>
      <c r="M287" s="9" t="n">
        <v>0.0580859725432781</v>
      </c>
      <c r="N287" s="9" t="n">
        <v>1.120759953298716</v>
      </c>
      <c r="O287" s="9" t="n">
        <v>6.135463777170278</v>
      </c>
      <c r="P287" s="9" t="n">
        <v>0.2077218322341485</v>
      </c>
      <c r="Q287" s="9" t="n">
        <v>0.1026679536045772</v>
      </c>
      <c r="R287" s="9" t="n">
        <v>-0.0181656429092367</v>
      </c>
      <c r="S287" s="9" t="n">
        <v>0.1256218701320861</v>
      </c>
      <c r="T287" s="9" t="n">
        <v>153690413912.6393</v>
      </c>
      <c r="U287" s="9" t="n">
        <v>0.0013394751414377</v>
      </c>
      <c r="V287" s="9" t="n">
        <v>0.0004342303154472</v>
      </c>
      <c r="W287" s="9" t="n">
        <v>-1.322385973614525</v>
      </c>
      <c r="X287" s="9" t="n">
        <v>11.394219907606</v>
      </c>
      <c r="Y287" s="9" t="n">
        <v>19.7588734373472</v>
      </c>
      <c r="Z287" s="9" t="n">
        <v>43.90534810983295</v>
      </c>
      <c r="AA287" s="9" t="n">
        <v>14.27103991760519</v>
      </c>
      <c r="AB287" s="9" t="n">
        <v>40.58252621394983</v>
      </c>
      <c r="AC287" s="9" t="n">
        <v>-1.768322586228783</v>
      </c>
      <c r="AD287" s="9" t="n">
        <v>40.16286458332979</v>
      </c>
      <c r="AE287" s="9" t="n">
        <v>14510.95520833334</v>
      </c>
      <c r="AF287" s="9" t="n">
        <v>16301.10006944444</v>
      </c>
      <c r="AG287" s="9" t="n">
        <v>16301.10006944444</v>
      </c>
      <c r="AH287" s="8" t="inlineStr">
        <is>
          <t>Strong (6.0-6.9)</t>
        </is>
      </c>
    </row>
    <row r="288">
      <c r="A288" s="8" t="inlineStr">
        <is>
          <t>1996-11-05 19:29:00.800</t>
        </is>
      </c>
      <c r="B288" s="8" t="n">
        <v>1996</v>
      </c>
      <c r="C288" s="9" t="n">
        <v>9.960000000000001</v>
      </c>
      <c r="D288" s="9" t="n">
        <v>127.66</v>
      </c>
      <c r="E288" s="8" t="n">
        <v>91</v>
      </c>
      <c r="F288" s="9" t="n">
        <v>5.7</v>
      </c>
      <c r="G288" s="9" t="n">
        <v>15</v>
      </c>
      <c r="H288" s="9" t="n">
        <v>5.5</v>
      </c>
      <c r="I288" s="9" t="n">
        <v>4.593333333333334</v>
      </c>
      <c r="J288" s="9" t="n">
        <v>0.6550080813884008</v>
      </c>
      <c r="K288" s="9" t="n">
        <v>3.833979275077655</v>
      </c>
      <c r="L288" s="9" t="n">
        <v>0.1297253747493887</v>
      </c>
      <c r="M288" s="9" t="n">
        <v>0.1008024891242061</v>
      </c>
      <c r="N288" s="9" t="n">
        <v>0.7896263307331853</v>
      </c>
      <c r="O288" s="9" t="n">
        <v>4.428598364665341</v>
      </c>
      <c r="P288" s="9" t="n">
        <v>0.1885275661868966</v>
      </c>
      <c r="Q288" s="9" t="n">
        <v>0.1204529108363129</v>
      </c>
      <c r="R288" s="9" t="n">
        <v>-0.3533312550142655</v>
      </c>
      <c r="S288" s="9" t="n">
        <v>-0.1084735175349207</v>
      </c>
      <c r="T288" s="9" t="n">
        <v>142592967740.3614</v>
      </c>
      <c r="U288" s="9" t="n">
        <v>0.0108386640629941</v>
      </c>
      <c r="V288" s="9" t="n">
        <v>0.0042768203492089</v>
      </c>
      <c r="W288" s="9" t="n">
        <v>-2.287478554989069</v>
      </c>
      <c r="X288" s="9" t="n">
        <v>11.62520127332446</v>
      </c>
      <c r="Y288" s="9" t="n">
        <v>5.020071576555231</v>
      </c>
      <c r="Z288" s="9" t="n">
        <v>20.3283190998028</v>
      </c>
      <c r="AA288" s="9" t="n">
        <v>9.049301096553185</v>
      </c>
      <c r="AB288" s="9" t="n">
        <v>20.52613796074007</v>
      </c>
      <c r="AC288" s="9" t="n">
        <v>-3.795381350599207</v>
      </c>
      <c r="AD288" s="9" t="n">
        <v>43535.17270833333</v>
      </c>
      <c r="AE288" s="9" t="n">
        <v>43535.17270833333</v>
      </c>
      <c r="AF288" s="9" t="n">
        <v>43535.17270833333</v>
      </c>
      <c r="AG288" s="9" t="n">
        <v>43535.17270833333</v>
      </c>
      <c r="AH288" s="8" t="inlineStr">
        <is>
          <t>Moderate (5.0-5.9)</t>
        </is>
      </c>
    </row>
    <row r="289">
      <c r="A289" s="8" t="inlineStr">
        <is>
          <t>1996-11-20 19:43:00.100</t>
        </is>
      </c>
      <c r="B289" s="8" t="n">
        <v>1996</v>
      </c>
      <c r="C289" s="9" t="n">
        <v>10.1</v>
      </c>
      <c r="D289" s="9" t="n">
        <v>127.15</v>
      </c>
      <c r="E289" s="8" t="n">
        <v>38</v>
      </c>
      <c r="F289" s="9" t="n">
        <v>5.8</v>
      </c>
      <c r="G289" s="9" t="n">
        <v>23</v>
      </c>
      <c r="H289" s="9" t="n">
        <v>5.7</v>
      </c>
      <c r="I289" s="9" t="n">
        <v>4.51304347826087</v>
      </c>
      <c r="J289" s="9" t="n">
        <v>0.4559617486311479</v>
      </c>
      <c r="K289" s="9" t="n">
        <v>2.722129303183881</v>
      </c>
      <c r="L289" s="9" t="n">
        <v>0.0441113954210169</v>
      </c>
      <c r="M289" s="9" t="n">
        <v>0.1059413097349148</v>
      </c>
      <c r="N289" s="9" t="n">
        <v>1.05925483391037</v>
      </c>
      <c r="O289" s="9" t="n">
        <v>5.783393207105795</v>
      </c>
      <c r="P289" s="9" t="n">
        <v>0.2380646348612061</v>
      </c>
      <c r="Q289" s="9" t="n">
        <v>0.1872782476442065</v>
      </c>
      <c r="R289" s="9" t="n">
        <v>-0.2700826031044059</v>
      </c>
      <c r="S289" s="9" t="n">
        <v>0.2401304559020189</v>
      </c>
      <c r="T289" s="9" t="n">
        <v>182724506131.0982</v>
      </c>
      <c r="U289" s="9" t="n">
        <v>0.0428661771203827</v>
      </c>
      <c r="V289" s="9" t="n">
        <v>0.0006641030858712</v>
      </c>
      <c r="W289" s="9" t="n">
        <v>1.752919642404429</v>
      </c>
      <c r="X289" s="9" t="n">
        <v>7.940074528094512</v>
      </c>
      <c r="Y289" s="9" t="n">
        <v>9.72029737398862</v>
      </c>
      <c r="Z289" s="9" t="n">
        <v>37.26345729519831</v>
      </c>
      <c r="AA289" s="9" t="n">
        <v>21.67229024759975</v>
      </c>
      <c r="AB289" s="9" t="n">
        <v>22.56990531853537</v>
      </c>
      <c r="AC289" s="9" t="n">
        <v>0.9723960642416554</v>
      </c>
      <c r="AD289" s="9" t="n">
        <v>16.26512847221966</v>
      </c>
      <c r="AE289" s="9" t="n">
        <v>16.26512847221966</v>
      </c>
      <c r="AF289" s="9" t="n">
        <v>16317.36519791666</v>
      </c>
      <c r="AG289" s="9" t="n">
        <v>16317.36519791666</v>
      </c>
      <c r="AH289" s="8" t="inlineStr">
        <is>
          <t>Moderate (5.0-5.9)</t>
        </is>
      </c>
    </row>
    <row r="290">
      <c r="A290" s="8" t="inlineStr">
        <is>
          <t>1996-12-14 16:25:54.000</t>
        </is>
      </c>
      <c r="B290" s="8" t="n">
        <v>1996</v>
      </c>
      <c r="C290" s="9" t="n">
        <v>10.2</v>
      </c>
      <c r="D290" s="9" t="n">
        <v>126.3</v>
      </c>
      <c r="E290" s="8" t="n">
        <v>6</v>
      </c>
      <c r="F290" s="9" t="n">
        <v>5.2</v>
      </c>
      <c r="G290" s="9" t="n">
        <v>4</v>
      </c>
      <c r="H290" s="9" t="n">
        <v>5.1</v>
      </c>
      <c r="I290" s="9" t="n">
        <v>4.6</v>
      </c>
      <c r="J290" s="9" t="n">
        <v>0.7904489527437973</v>
      </c>
      <c r="K290" s="9" t="n">
        <v>3.901914659826469</v>
      </c>
      <c r="L290" s="9" t="n">
        <v>0.2557270496173702</v>
      </c>
      <c r="M290" s="9" t="n">
        <v>0.1014949178735558</v>
      </c>
      <c r="N290" s="9" t="n">
        <v>1.240841376866435</v>
      </c>
      <c r="O290" s="9" t="n">
        <v>5.937677911853633</v>
      </c>
      <c r="P290" s="9" t="n">
        <v>0.6301755443476568</v>
      </c>
      <c r="Q290" s="9" t="n">
        <v>0.1759690581467231</v>
      </c>
      <c r="R290" s="9" t="n">
        <v>0.163672807355633</v>
      </c>
      <c r="S290" s="9" t="n">
        <v>0.314796973608038</v>
      </c>
      <c r="T290" s="9" t="n">
        <v>42921297565.76057</v>
      </c>
      <c r="U290" s="9" t="n">
        <v>0.0042525863589985</v>
      </c>
      <c r="V290" s="9" t="n">
        <v>0.0001894418252328</v>
      </c>
      <c r="W290" s="9" t="n">
        <v>0.8660254037844386</v>
      </c>
      <c r="X290" s="9" t="n">
        <v>-0.7454469950022529</v>
      </c>
      <c r="Y290" s="9" t="n">
        <v>4.53572149275789</v>
      </c>
      <c r="Z290" s="9" t="n">
        <v>33.00815231646128</v>
      </c>
      <c r="AA290" s="9" t="n">
        <v>23.22345455226665</v>
      </c>
      <c r="AB290" s="9" t="n">
        <v>13.18848690538811</v>
      </c>
      <c r="AC290" s="9" t="n">
        <v>3.372776776362142</v>
      </c>
      <c r="AD290" s="9" t="n">
        <v>40.12825231481474</v>
      </c>
      <c r="AE290" s="9" t="n">
        <v>40.12825231481474</v>
      </c>
      <c r="AF290" s="9" t="n">
        <v>16341.22832175926</v>
      </c>
      <c r="AG290" s="9" t="n">
        <v>16341.22832175926</v>
      </c>
      <c r="AH290" s="8" t="inlineStr">
        <is>
          <t>Moderate (5.0-5.9)</t>
        </is>
      </c>
    </row>
    <row r="291">
      <c r="A291" s="8" t="inlineStr">
        <is>
          <t>1997-04-14 09:24:14.500</t>
        </is>
      </c>
      <c r="B291" s="8" t="n">
        <v>1997</v>
      </c>
      <c r="C291" s="9" t="n">
        <v>9.94</v>
      </c>
      <c r="D291" s="9" t="n">
        <v>126.49</v>
      </c>
      <c r="E291" s="8" t="n">
        <v>3</v>
      </c>
      <c r="F291" s="9" t="n">
        <v>5.2</v>
      </c>
      <c r="G291" s="9" t="n">
        <v>3</v>
      </c>
      <c r="H291" s="9" t="n">
        <v>4.4</v>
      </c>
      <c r="I291" s="9" t="n">
        <v>4.266666666666667</v>
      </c>
      <c r="J291" s="9" t="n">
        <v>2.385606273598313</v>
      </c>
      <c r="K291" s="9" t="n">
        <v>10.41714739471264</v>
      </c>
      <c r="L291" s="9" t="n">
        <v>0.8726379848701841</v>
      </c>
      <c r="M291" s="9" t="n">
        <v>0.137733042424245</v>
      </c>
      <c r="N291" s="9" t="n">
        <v>3.722524130599314</v>
      </c>
      <c r="O291" s="9" t="n">
        <v>16.11172260323678</v>
      </c>
      <c r="P291" s="9" t="n">
        <v>2.124768505110443</v>
      </c>
      <c r="Q291" s="9" t="n">
        <v>0.2030904333120847</v>
      </c>
      <c r="R291" s="9" t="n">
        <v>0.0333333333333323</v>
      </c>
      <c r="S291" s="9" t="n">
        <v>0.071828566322055</v>
      </c>
      <c r="T291" s="9" t="n">
        <v>12481666077.26263</v>
      </c>
      <c r="U291" s="9" t="n">
        <v>6.969171937625566e-08</v>
      </c>
      <c r="V291" s="9" t="n">
        <v>6.79872708748768e-12</v>
      </c>
      <c r="W291" s="9" t="n">
        <v>-1.441153384245784</v>
      </c>
      <c r="X291" s="9" t="n">
        <v>-1.525822203664035</v>
      </c>
      <c r="Y291" s="9" t="n">
        <v>43.7172737827431</v>
      </c>
      <c r="Z291" s="9" t="n">
        <v>56.00145497317826</v>
      </c>
      <c r="AA291" s="9" t="n">
        <v>13.55132023567784</v>
      </c>
      <c r="AB291" s="9" t="n">
        <v>55.4404327179495</v>
      </c>
      <c r="AC291" s="9" t="n">
        <v>-3.865257068230642</v>
      </c>
      <c r="AD291" s="9" t="n">
        <v>160.8354340277729</v>
      </c>
      <c r="AE291" s="9" t="n">
        <v>160.8354340277729</v>
      </c>
      <c r="AF291" s="9" t="n">
        <v>16461.93550347222</v>
      </c>
      <c r="AG291" s="9" t="n">
        <v>16461.93550347222</v>
      </c>
      <c r="AH291" s="8" t="inlineStr">
        <is>
          <t>Moderate (5.0-5.9)</t>
        </is>
      </c>
    </row>
    <row r="292">
      <c r="A292" s="8" t="inlineStr">
        <is>
          <t>1997-10-06 12:30:04.500</t>
        </is>
      </c>
      <c r="B292" s="8" t="n">
        <v>1997</v>
      </c>
      <c r="C292" s="9" t="n">
        <v>9.75</v>
      </c>
      <c r="D292" s="9" t="n">
        <v>126.17</v>
      </c>
      <c r="E292" s="8" t="n">
        <v>140</v>
      </c>
      <c r="F292" s="9" t="n">
        <v>6.6</v>
      </c>
      <c r="G292" s="9" t="n">
        <v>3</v>
      </c>
      <c r="H292" s="9" t="n">
        <v>5.2</v>
      </c>
      <c r="I292" s="9" t="n">
        <v>4.8</v>
      </c>
      <c r="J292" s="9" t="n">
        <v>0.3263387505685673</v>
      </c>
      <c r="K292" s="9" t="n">
        <v>1.796097693129677</v>
      </c>
      <c r="L292" s="9" t="n">
        <v>0.074831339146761</v>
      </c>
      <c r="M292" s="9" t="n">
        <v>0.0886589947589921</v>
      </c>
      <c r="N292" s="9" t="n">
        <v>0.6681453567742341</v>
      </c>
      <c r="O292" s="9" t="n">
        <v>3.283331753171446</v>
      </c>
      <c r="P292" s="9" t="n">
        <v>0.3136809421021753</v>
      </c>
      <c r="Q292" s="9" t="n">
        <v>0.1906734457583379</v>
      </c>
      <c r="R292" s="9" t="n">
        <v>-0.3037830781677177</v>
      </c>
      <c r="S292" s="9" t="n">
        <v>0.285902012365729</v>
      </c>
      <c r="T292" s="9" t="n">
        <v>57681673504.19688</v>
      </c>
      <c r="U292" s="9" t="n">
        <v>0.1049503154527862</v>
      </c>
      <c r="V292" s="9" t="n">
        <v>0.0098983756072038</v>
      </c>
      <c r="W292" s="9" t="n">
        <v>-0.6123724356957945</v>
      </c>
      <c r="X292" s="9" t="n">
        <v>-0.8211634503633475</v>
      </c>
      <c r="Y292" s="9" t="n">
        <v>48.9215071261258</v>
      </c>
      <c r="Z292" s="9" t="n">
        <v>58.0509309338644</v>
      </c>
      <c r="AA292" s="9" t="n">
        <v>9.911161415576329</v>
      </c>
      <c r="AB292" s="9" t="n">
        <v>64.27809550093613</v>
      </c>
      <c r="AC292" s="9" t="n">
        <v>0.7602901947655616</v>
      </c>
      <c r="AD292" s="9" t="n">
        <v>335.9644849536999</v>
      </c>
      <c r="AE292" s="9" t="n">
        <v>335.9644849536999</v>
      </c>
      <c r="AF292" s="9" t="n">
        <v>16637.06455439814</v>
      </c>
      <c r="AG292" s="9" t="n">
        <v>16637.06455439814</v>
      </c>
      <c r="AH292" s="8" t="inlineStr">
        <is>
          <t>Strong (6.0-6.9)</t>
        </is>
      </c>
    </row>
    <row r="293">
      <c r="A293" s="8" t="inlineStr">
        <is>
          <t>1998-01-27 21:14:22.700</t>
        </is>
      </c>
      <c r="B293" s="8" t="n">
        <v>1998</v>
      </c>
      <c r="C293" s="9" t="n">
        <v>11.75</v>
      </c>
      <c r="D293" s="9" t="n">
        <v>125.73</v>
      </c>
      <c r="E293" s="8" t="n">
        <v>3</v>
      </c>
      <c r="F293" s="9" t="n">
        <v>5.7</v>
      </c>
      <c r="G293" s="9" t="n">
        <v>4</v>
      </c>
      <c r="H293" s="9" t="n">
        <v>4.3</v>
      </c>
      <c r="I293" s="9" t="n">
        <v>4.15</v>
      </c>
      <c r="J293" s="9" t="n">
        <v>1.982271233039556</v>
      </c>
      <c r="K293" s="9" t="n">
        <v>8.571478427542056</v>
      </c>
      <c r="L293" s="9" t="n">
        <v>0.583375749854642</v>
      </c>
      <c r="M293" s="9" t="n">
        <v>0.0517179954141168</v>
      </c>
      <c r="N293" s="9" t="n">
        <v>2.171472409516257</v>
      </c>
      <c r="O293" s="9" t="n">
        <v>9.28794962939299</v>
      </c>
      <c r="P293" s="9" t="n">
        <v>0.7000528796998192</v>
      </c>
      <c r="Q293" s="9" t="n">
        <v>0.0978099977412769</v>
      </c>
      <c r="R293" s="9" t="n">
        <v>-0.0240694233345681</v>
      </c>
      <c r="S293" s="9" t="n">
        <v>0.0227411277760216</v>
      </c>
      <c r="T293" s="9" t="n">
        <v>11449853884.55148</v>
      </c>
      <c r="U293" s="9" t="n">
        <v>1.130280671296394e-06</v>
      </c>
      <c r="V293" s="9" t="n">
        <v>3.059023205018304e-07</v>
      </c>
      <c r="W293" s="9" t="n">
        <v>-0.6324555320336758</v>
      </c>
      <c r="X293" s="9" t="n">
        <v>6.34332552232842</v>
      </c>
      <c r="Y293" s="9" t="n">
        <v>13.2580505113961</v>
      </c>
      <c r="Z293" s="9" t="n">
        <v>43.11755543794637</v>
      </c>
      <c r="AA293" s="9" t="n">
        <v>20.08961261145409</v>
      </c>
      <c r="AB293" s="9" t="n">
        <v>47.34845645094383</v>
      </c>
      <c r="AC293" s="9" t="n">
        <v>-1.077804237842794</v>
      </c>
      <c r="AD293" s="9" t="n">
        <v>482.4766319444534</v>
      </c>
      <c r="AE293" s="9" t="n">
        <v>1012.860813657411</v>
      </c>
      <c r="AF293" s="9" t="n">
        <v>1012.860813657411</v>
      </c>
      <c r="AG293" s="9" t="n">
        <v>43535.17270833333</v>
      </c>
      <c r="AH293" s="8" t="inlineStr">
        <is>
          <t>Moderate (5.0-5.9)</t>
        </is>
      </c>
    </row>
    <row r="294">
      <c r="A294" s="8" t="inlineStr">
        <is>
          <t>1998-05-25 19:04:45.100</t>
        </is>
      </c>
      <c r="B294" s="8" t="n">
        <v>1998</v>
      </c>
      <c r="C294" s="9" t="n">
        <v>9.720000000000001</v>
      </c>
      <c r="D294" s="9" t="n">
        <v>126.76</v>
      </c>
      <c r="E294" s="8" t="n">
        <v>8</v>
      </c>
      <c r="F294" s="9" t="n">
        <v>5.3</v>
      </c>
      <c r="G294" s="9" t="n">
        <v>4</v>
      </c>
      <c r="H294" s="9" t="n">
        <v>4.6</v>
      </c>
      <c r="I294" s="9" t="n">
        <v>4.300000000000001</v>
      </c>
      <c r="J294" s="9" t="n">
        <v>1.15626562076531</v>
      </c>
      <c r="K294" s="9" t="n">
        <v>5.262431277217537</v>
      </c>
      <c r="L294" s="9" t="n">
        <v>0.3766072631636527</v>
      </c>
      <c r="M294" s="9" t="n">
        <v>0.1157416688804426</v>
      </c>
      <c r="N294" s="9" t="n">
        <v>1.240841376866432</v>
      </c>
      <c r="O294" s="9" t="n">
        <v>5.56542549879369</v>
      </c>
      <c r="P294" s="9" t="n">
        <v>0.4337165549213931</v>
      </c>
      <c r="Q294" s="9" t="n">
        <v>0.1342605651764615</v>
      </c>
      <c r="R294" s="9" t="n">
        <v>0.0487695710139366</v>
      </c>
      <c r="S294" s="9" t="n">
        <v>0.1147969736080369</v>
      </c>
      <c r="T294" s="9" t="n">
        <v>17784914351.56384</v>
      </c>
      <c r="U294" s="9" t="n">
        <v>0.0003397841667012</v>
      </c>
      <c r="V294" s="9" t="n">
        <v>0.0001894418252328</v>
      </c>
      <c r="W294" s="9" t="n">
        <v>0</v>
      </c>
      <c r="X294" s="9" t="n">
        <v>2.879218743967686</v>
      </c>
      <c r="Y294" s="9" t="n">
        <v>9.47982455325627</v>
      </c>
      <c r="Z294" s="9" t="n">
        <v>38.10631169011064</v>
      </c>
      <c r="AA294" s="9" t="n">
        <v>24.71637924599057</v>
      </c>
      <c r="AB294" s="9" t="n">
        <v>25.51123979117273</v>
      </c>
      <c r="AC294" s="9" t="n">
        <v>-1.153557922346572</v>
      </c>
      <c r="AD294" s="9" t="n">
        <v>231.2740810185278</v>
      </c>
      <c r="AE294" s="9" t="n">
        <v>231.2740810185278</v>
      </c>
      <c r="AF294" s="9" t="n">
        <v>16868.33863541667</v>
      </c>
      <c r="AG294" s="9" t="n">
        <v>16868.33863541667</v>
      </c>
      <c r="AH294" s="8" t="inlineStr">
        <is>
          <t>Moderate (5.0-5.9)</t>
        </is>
      </c>
    </row>
    <row r="295">
      <c r="A295" s="8" t="inlineStr">
        <is>
          <t>1999-03-05 13:01:10.200</t>
        </is>
      </c>
      <c r="B295" s="8" t="n">
        <v>1999</v>
      </c>
      <c r="C295" s="9" t="n">
        <v>5.25</v>
      </c>
      <c r="D295" s="9" t="n">
        <v>122.09</v>
      </c>
      <c r="E295" s="8" t="n">
        <v>36</v>
      </c>
      <c r="F295" s="9" t="n">
        <v>5.8</v>
      </c>
      <c r="G295" s="9" t="n">
        <v>5</v>
      </c>
      <c r="H295" s="9" t="n">
        <v>6.5</v>
      </c>
      <c r="I295" s="9" t="n">
        <v>5.140000000000001</v>
      </c>
      <c r="J295" s="9" t="n">
        <v>-0</v>
      </c>
      <c r="K295" s="9" t="n">
        <v>0</v>
      </c>
      <c r="L295" s="9" t="n">
        <v>0</v>
      </c>
      <c r="M295" s="9" t="n">
        <v>0</v>
      </c>
      <c r="N295" s="9" t="n">
        <v/>
      </c>
      <c r="O295" s="9" t="n">
        <v/>
      </c>
      <c r="P295" s="9" t="n">
        <v/>
      </c>
      <c r="Q295" s="9" t="n">
        <v/>
      </c>
      <c r="R295" s="9" t="n">
        <v/>
      </c>
      <c r="S295" s="9" t="n">
        <v/>
      </c>
      <c r="T295" s="9" t="n">
        <v>709177902191.147</v>
      </c>
      <c r="U295" s="9" t="n">
        <v>1</v>
      </c>
      <c r="V295" s="9" t="n">
        <v/>
      </c>
      <c r="W295" s="9" t="n">
        <v>-1.507556722888818</v>
      </c>
      <c r="X295" s="9" t="n">
        <v>11.19630040938268</v>
      </c>
      <c r="Y295" s="9" t="n">
        <v>147.424798215669</v>
      </c>
      <c r="Z295" s="9" t="n">
        <v>174.6167396797426</v>
      </c>
      <c r="AA295" s="9" t="n">
        <v>20.34376792076018</v>
      </c>
      <c r="AB295" s="9" t="n">
        <v>147.8037130259852</v>
      </c>
      <c r="AC295" s="9" t="n">
        <v>-1.368145017785378</v>
      </c>
      <c r="AD295" s="9" t="n">
        <v>1.172974537039408</v>
      </c>
      <c r="AE295" s="9" t="n">
        <v>1.172974537039408</v>
      </c>
      <c r="AF295" s="9" t="n">
        <v>43535.17270833333</v>
      </c>
      <c r="AG295" s="9" t="n">
        <v>43535.17270833333</v>
      </c>
      <c r="AH295" s="8" t="inlineStr">
        <is>
          <t>Moderate (5.0-5.9)</t>
        </is>
      </c>
    </row>
    <row r="296">
      <c r="A296" s="8" t="inlineStr">
        <is>
          <t>1999-03-05 22:43:29.700</t>
        </is>
      </c>
      <c r="B296" s="8" t="n">
        <v>1999</v>
      </c>
      <c r="C296" s="9" t="n">
        <v>6.33</v>
      </c>
      <c r="D296" s="9" t="n">
        <v>122.15</v>
      </c>
      <c r="E296" s="8" t="n">
        <v>25</v>
      </c>
      <c r="F296" s="9" t="n">
        <v>5.5</v>
      </c>
      <c r="G296" s="9" t="n">
        <v>4</v>
      </c>
      <c r="H296" s="9" t="n">
        <v>6.5</v>
      </c>
      <c r="I296" s="9" t="n">
        <v>5.225000000000001</v>
      </c>
      <c r="J296" s="9" t="n">
        <v>0.1056245598820989</v>
      </c>
      <c r="K296" s="9" t="n">
        <v>0.6302265406298566</v>
      </c>
      <c r="L296" s="9" t="n">
        <v>0.0109055253281556</v>
      </c>
      <c r="M296" s="9" t="n">
        <v>0.1302227031989288</v>
      </c>
      <c r="N296" s="9" t="n">
        <v>0.9143041724278976</v>
      </c>
      <c r="O296" s="9" t="n">
        <v>4.990720018981871</v>
      </c>
      <c r="P296" s="9" t="n">
        <v>0.8171431970253835</v>
      </c>
      <c r="Q296" s="9" t="n">
        <v>0.4857950174084556</v>
      </c>
      <c r="R296" s="9" t="n">
        <v>0.533333333333335</v>
      </c>
      <c r="S296" s="9" t="n">
        <v>1.041510178468051</v>
      </c>
      <c r="T296" s="9" t="n">
        <v>708870073514.1766</v>
      </c>
      <c r="U296" s="9" t="n">
        <v>0.4820879989712467</v>
      </c>
      <c r="V296" s="9" t="n">
        <v>0.0018075381933252</v>
      </c>
      <c r="W296" s="9" t="n">
        <v>-1.333333333333333</v>
      </c>
      <c r="X296" s="9" t="n">
        <v>10.01427552475536</v>
      </c>
      <c r="Y296" s="9" t="n">
        <v>147.424798215669</v>
      </c>
      <c r="Z296" s="9" t="n">
        <v>167.6937775435308</v>
      </c>
      <c r="AA296" s="9" t="n">
        <v>15.24169148603641</v>
      </c>
      <c r="AB296" s="9" t="n">
        <v>147.6513853690595</v>
      </c>
      <c r="AC296" s="9" t="n">
        <v>4.568325135493227</v>
      </c>
      <c r="AD296" s="9" t="n">
        <v>1.577366898149194</v>
      </c>
      <c r="AE296" s="9" t="n">
        <v>1.577366898149194</v>
      </c>
      <c r="AF296" s="9" t="n">
        <v>43535.17270833333</v>
      </c>
      <c r="AG296" s="9" t="n">
        <v>43535.17270833333</v>
      </c>
      <c r="AH296" s="8" t="inlineStr">
        <is>
          <t>Moderate (5.0-5.9)</t>
        </is>
      </c>
    </row>
    <row r="297">
      <c r="A297" s="8" t="inlineStr">
        <is>
          <t>1999-03-06 13:15:32.300</t>
        </is>
      </c>
      <c r="B297" s="8" t="n">
        <v>1999</v>
      </c>
      <c r="C297" s="9" t="n">
        <v>5.32</v>
      </c>
      <c r="D297" s="9" t="n">
        <v>121.92</v>
      </c>
      <c r="E297" s="8" t="n">
        <v>38</v>
      </c>
      <c r="F297" s="9" t="n">
        <v>5.3</v>
      </c>
      <c r="G297" s="9" t="n">
        <v>6</v>
      </c>
      <c r="H297" s="9" t="n">
        <v>6.5</v>
      </c>
      <c r="I297" s="9" t="n">
        <v>5.250000000000001</v>
      </c>
      <c r="J297" s="9" t="n">
        <v>0.2788954371592767</v>
      </c>
      <c r="K297" s="9" t="n">
        <v>1.772978136226831</v>
      </c>
      <c r="L297" s="9" t="n">
        <v>0.0534209885115199</v>
      </c>
      <c r="M297" s="9" t="n">
        <v>0.0784650586620725</v>
      </c>
      <c r="N297" s="9" t="n">
        <v>0.3619120682527098</v>
      </c>
      <c r="O297" s="9" t="n">
        <v>2.11059033692753</v>
      </c>
      <c r="P297" s="9" t="n">
        <v>0.0899570556650498</v>
      </c>
      <c r="Q297" s="9" t="n">
        <v>0.2012655867556091</v>
      </c>
      <c r="R297" s="9" t="n">
        <v>0.1428571428571423</v>
      </c>
      <c r="S297" s="9" t="n">
        <v>0.6682233833280655</v>
      </c>
      <c r="T297" s="9" t="n">
        <v>728337548111.8752</v>
      </c>
      <c r="U297" s="9" t="n">
        <v>0.1456510730447408</v>
      </c>
      <c r="V297" s="9" t="n">
        <v>0.0820849986238988</v>
      </c>
      <c r="W297" s="9" t="n">
        <v>-1.549193338482967</v>
      </c>
      <c r="X297" s="9" t="n">
        <v>12.26493258964644</v>
      </c>
      <c r="Y297" s="9" t="n">
        <v>147.424798215669</v>
      </c>
      <c r="Z297" s="9" t="n">
        <v>177.3073999441747</v>
      </c>
      <c r="AA297" s="9" t="n">
        <v>19.3528558751044</v>
      </c>
      <c r="AB297" s="9" t="n">
        <v>151.2829482031356</v>
      </c>
      <c r="AC297" s="9" t="n">
        <v>7.466354523944245</v>
      </c>
      <c r="AD297" s="9" t="n">
        <v>2.182952546296292</v>
      </c>
      <c r="AE297" s="9" t="n">
        <v>2.182952546296292</v>
      </c>
      <c r="AF297" s="9" t="n">
        <v>43535.17270833333</v>
      </c>
      <c r="AG297" s="9" t="n">
        <v>43535.17270833333</v>
      </c>
      <c r="AH297" s="8" t="inlineStr">
        <is>
          <t>Moderate (5.0-5.9)</t>
        </is>
      </c>
    </row>
    <row r="298">
      <c r="A298" s="8" t="inlineStr">
        <is>
          <t>1999-06-09 01:05:33.400</t>
        </is>
      </c>
      <c r="B298" s="8" t="n">
        <v>1999</v>
      </c>
      <c r="C298" s="9" t="n">
        <v>8.6</v>
      </c>
      <c r="D298" s="9" t="n">
        <v>125.65</v>
      </c>
      <c r="E298" s="8" t="n">
        <v>14</v>
      </c>
      <c r="F298" s="9" t="n">
        <v>5</v>
      </c>
      <c r="G298" s="9" t="n">
        <v>6</v>
      </c>
      <c r="H298" s="9" t="n">
        <v>5.1</v>
      </c>
      <c r="I298" s="9" t="n">
        <v>4.550000000000001</v>
      </c>
      <c r="J298" s="9" t="n">
        <v>0.7297696864581381</v>
      </c>
      <c r="K298" s="9" t="n">
        <v>3.789883288638255</v>
      </c>
      <c r="L298" s="9" t="n">
        <v>0.218544828137012</v>
      </c>
      <c r="M298" s="9" t="n">
        <v>0.0914741037949891</v>
      </c>
      <c r="N298" s="9" t="n">
        <v>0.6681453567742331</v>
      </c>
      <c r="O298" s="9" t="n">
        <v>3.408270489779742</v>
      </c>
      <c r="P298" s="9" t="n">
        <v>0.1831938136757595</v>
      </c>
      <c r="Q298" s="9" t="n">
        <v>0.124868209127344</v>
      </c>
      <c r="R298" s="9" t="n">
        <v>-0.09325940630949239</v>
      </c>
      <c r="S298" s="9" t="n">
        <v>-0.0010913347279304</v>
      </c>
      <c r="T298" s="9" t="n">
        <v>51267803239.95457</v>
      </c>
      <c r="U298" s="9" t="n">
        <v>0.0064668224990999</v>
      </c>
      <c r="V298" s="9" t="n">
        <v>0.009898375607203899</v>
      </c>
      <c r="W298" s="9" t="n">
        <v>-1</v>
      </c>
      <c r="X298" s="9" t="n">
        <v>5.902161781301538</v>
      </c>
      <c r="Y298" s="9" t="n">
        <v>4.49516943967691</v>
      </c>
      <c r="Z298" s="9" t="n">
        <v>7.564755927828959</v>
      </c>
      <c r="AA298" s="9" t="n">
        <v>2.944427344505616</v>
      </c>
      <c r="AB298" s="9" t="n">
        <v>6.905605447896272</v>
      </c>
      <c r="AC298" s="9" t="n">
        <v>7.437816638766273</v>
      </c>
      <c r="AD298" s="9" t="n">
        <v>819.2389907407414</v>
      </c>
      <c r="AE298" s="9" t="n">
        <v>819.2389907407414</v>
      </c>
      <c r="AF298" s="9" t="n">
        <v>27310.91708796296</v>
      </c>
      <c r="AG298" s="9" t="n">
        <v>32108.87358101852</v>
      </c>
      <c r="AH298" s="8" t="inlineStr">
        <is>
          <t>Moderate (5.0-5.9)</t>
        </is>
      </c>
    </row>
    <row r="299">
      <c r="A299" s="8" t="inlineStr">
        <is>
          <t>1999-06-30 06:03:03.600</t>
        </is>
      </c>
      <c r="B299" s="8" t="n">
        <v>1999</v>
      </c>
      <c r="C299" s="9" t="n">
        <v>5.45</v>
      </c>
      <c r="D299" s="9" t="n">
        <v>127.2</v>
      </c>
      <c r="E299" s="8" t="n">
        <v>50</v>
      </c>
      <c r="F299" s="9" t="n">
        <v>5.2</v>
      </c>
      <c r="G299" s="9" t="n">
        <v>5</v>
      </c>
      <c r="H299" s="9" t="n">
        <v>6.1</v>
      </c>
      <c r="I299" s="9" t="n">
        <v>4.74</v>
      </c>
      <c r="J299" s="9" t="n">
        <v>0.3232417938560096</v>
      </c>
      <c r="K299" s="9" t="n">
        <v>1.811520925482393</v>
      </c>
      <c r="L299" s="9" t="n">
        <v>0.086846924011256</v>
      </c>
      <c r="M299" s="9" t="n">
        <v>0.1400231166477265</v>
      </c>
      <c r="N299" s="9" t="n">
        <v>0.5603799766493569</v>
      </c>
      <c r="O299" s="9" t="n">
        <v>2.955655893255261</v>
      </c>
      <c r="P299" s="9" t="n">
        <v>0.2610145047697552</v>
      </c>
      <c r="Q299" s="9" t="n">
        <v>0.203402401251705</v>
      </c>
      <c r="R299" s="9" t="n">
        <v>0.4957713392428813</v>
      </c>
      <c r="S299" s="9" t="n">
        <v>0.8256218701320837</v>
      </c>
      <c r="T299" s="9" t="n">
        <v>309917748513.3154</v>
      </c>
      <c r="U299" s="9" t="n">
        <v>0.1072197075778173</v>
      </c>
      <c r="V299" s="9" t="n">
        <v>0.0208381936704527</v>
      </c>
      <c r="W299" s="9" t="n">
        <v>0.3061862178478972</v>
      </c>
      <c r="X299" s="9" t="n">
        <v>5.490790707171333</v>
      </c>
      <c r="Y299" s="9" t="n">
        <v>51.2227842975214</v>
      </c>
      <c r="Z299" s="9" t="n">
        <v>70.31097643878364</v>
      </c>
      <c r="AA299" s="9" t="n">
        <v>14.8733701561481</v>
      </c>
      <c r="AB299" s="9" t="n">
        <v>70.0941580112919</v>
      </c>
      <c r="AC299" s="9" t="n">
        <v>-2.851421509757138</v>
      </c>
      <c r="AD299" s="9" t="n">
        <v>11.79705324074166</v>
      </c>
      <c r="AE299" s="9" t="n">
        <v>300.892706018516</v>
      </c>
      <c r="AF299" s="9" t="n">
        <v>300.892706018516</v>
      </c>
      <c r="AG299" s="9" t="n">
        <v>15253.90415046296</v>
      </c>
      <c r="AH299" s="8" t="inlineStr">
        <is>
          <t>Moderate (5.0-5.9)</t>
        </is>
      </c>
    </row>
    <row r="300">
      <c r="A300" s="8" t="inlineStr">
        <is>
          <t>1999-07-12 05:57:59.500</t>
        </is>
      </c>
      <c r="B300" s="8" t="n">
        <v>1999</v>
      </c>
      <c r="C300" s="9" t="n">
        <v>5.55</v>
      </c>
      <c r="D300" s="9" t="n">
        <v>126.82</v>
      </c>
      <c r="E300" s="8" t="n">
        <v>7</v>
      </c>
      <c r="F300" s="9" t="n">
        <v>5.6</v>
      </c>
      <c r="G300" s="9" t="n">
        <v>4</v>
      </c>
      <c r="H300" s="9" t="n">
        <v>5.2</v>
      </c>
      <c r="I300" s="9" t="n">
        <v>4.6</v>
      </c>
      <c r="J300" s="9" t="n">
        <v>0.664035568101526</v>
      </c>
      <c r="K300" s="9" t="n">
        <v>3.305823875121441</v>
      </c>
      <c r="L300" s="9" t="n">
        <v>0.2151378269383584</v>
      </c>
      <c r="M300" s="9" t="n">
        <v>0.1358236848275203</v>
      </c>
      <c r="N300" s="9" t="n">
        <v>0.9650988486738944</v>
      </c>
      <c r="O300" s="9" t="n">
        <v>4.655475155758319</v>
      </c>
      <c r="P300" s="9" t="n">
        <v>0.4544411895206441</v>
      </c>
      <c r="Q300" s="9" t="n">
        <v>0.181976657224045</v>
      </c>
      <c r="R300" s="9" t="n">
        <v>0.2216162598446756</v>
      </c>
      <c r="S300" s="9" t="n">
        <v>0.3761675374960509</v>
      </c>
      <c r="T300" s="9" t="n">
        <v>50783467197.53997</v>
      </c>
      <c r="U300" s="9" t="n">
        <v>0.0101834115523</v>
      </c>
      <c r="V300" s="9" t="n">
        <v>0.0012726338013397</v>
      </c>
      <c r="W300" s="9" t="n">
        <v>1.921537845661046</v>
      </c>
      <c r="X300" s="9" t="n">
        <v>3.385016328659592</v>
      </c>
      <c r="Y300" s="9" t="n">
        <v>34.8101661111466</v>
      </c>
      <c r="Z300" s="9" t="n">
        <v>61.75630731199425</v>
      </c>
      <c r="AA300" s="9" t="n">
        <v>26.13599484534364</v>
      </c>
      <c r="AB300" s="9" t="n">
        <v>48.16216319708627</v>
      </c>
      <c r="AC300" s="9" t="n">
        <v>1.58272468773933</v>
      </c>
      <c r="AD300" s="9" t="n">
        <v>23.7935335648217</v>
      </c>
      <c r="AE300" s="9" t="n">
        <v>312.8891863425961</v>
      </c>
      <c r="AF300" s="9" t="n">
        <v>312.8891863425961</v>
      </c>
      <c r="AG300" s="9" t="n">
        <v>15265.90063078704</v>
      </c>
      <c r="AH300" s="8" t="inlineStr">
        <is>
          <t>Moderate (5.0-5.9)</t>
        </is>
      </c>
    </row>
    <row r="301">
      <c r="A301" s="8" t="inlineStr">
        <is>
          <t>1999-12-13 09:31:22.400</t>
        </is>
      </c>
      <c r="B301" s="8" t="n">
        <v>1999</v>
      </c>
      <c r="C301" s="9" t="n">
        <v>5.41</v>
      </c>
      <c r="D301" s="9" t="n">
        <v>126.05</v>
      </c>
      <c r="E301" s="8" t="n">
        <v>19</v>
      </c>
      <c r="F301" s="9" t="n">
        <v>5.5</v>
      </c>
      <c r="G301" s="9" t="n">
        <v>4</v>
      </c>
      <c r="H301" s="9" t="n">
        <v>5.2</v>
      </c>
      <c r="I301" s="9" t="n">
        <v>4.575</v>
      </c>
      <c r="J301" s="9" t="n">
        <v>0.1984813158224051</v>
      </c>
      <c r="K301" s="9" t="n">
        <v>1.214044048447044</v>
      </c>
      <c r="L301" s="9" t="n">
        <v>0.030136564255224</v>
      </c>
      <c r="M301" s="9" t="n">
        <v>0.0955421028522823</v>
      </c>
      <c r="N301" s="9" t="n">
        <v>0.6948711710452029</v>
      </c>
      <c r="O301" s="9" t="n">
        <v>3.381544675508774</v>
      </c>
      <c r="P301" s="9" t="n">
        <v>0.3693712301504382</v>
      </c>
      <c r="Q301" s="9" t="n">
        <v>0.2470825320436759</v>
      </c>
      <c r="R301" s="9" t="n">
        <v>-0.9166666666666644</v>
      </c>
      <c r="S301" s="9" t="n">
        <v>0.333566024300068</v>
      </c>
      <c r="T301" s="9" t="n">
        <v>61936473624.61949</v>
      </c>
      <c r="U301" s="9" t="n">
        <v>0.2538376582240099</v>
      </c>
      <c r="V301" s="9" t="n">
        <v>0.008229747049020001</v>
      </c>
      <c r="W301" s="9" t="n">
        <v>0</v>
      </c>
      <c r="X301" s="9" t="n">
        <v>2.708664000977973</v>
      </c>
      <c r="Y301" s="9" t="n">
        <v>33.9628703090201</v>
      </c>
      <c r="Z301" s="9" t="n">
        <v>58.67291502091998</v>
      </c>
      <c r="AA301" s="9" t="n">
        <v>26.71705549334673</v>
      </c>
      <c r="AB301" s="9" t="n">
        <v>58.84036157267455</v>
      </c>
      <c r="AC301" s="9" t="n">
        <v>4.935596941000829</v>
      </c>
      <c r="AD301" s="9" t="n">
        <v>177.9417152777824</v>
      </c>
      <c r="AE301" s="9" t="n">
        <v>467.0373680555567</v>
      </c>
      <c r="AF301" s="9" t="n">
        <v>467.0373680555567</v>
      </c>
      <c r="AG301" s="9" t="n">
        <v>10702.85971990741</v>
      </c>
      <c r="AH301" s="8" t="inlineStr">
        <is>
          <t>Moderate (5.0-5.9)</t>
        </is>
      </c>
    </row>
    <row r="302">
      <c r="A302" s="8" t="inlineStr">
        <is>
          <t>2000-01-03 02:38:27.400</t>
        </is>
      </c>
      <c r="B302" s="8" t="n">
        <v>2000</v>
      </c>
      <c r="C302" s="9" t="n">
        <v>9.67</v>
      </c>
      <c r="D302" s="9" t="n">
        <v>126.11</v>
      </c>
      <c r="E302" s="8" t="n">
        <v>19</v>
      </c>
      <c r="F302" s="9" t="n">
        <v>5</v>
      </c>
      <c r="G302" s="9" t="n">
        <v>4</v>
      </c>
      <c r="H302" s="9" t="n">
        <v>5.5</v>
      </c>
      <c r="I302" s="9" t="n">
        <v>4.55</v>
      </c>
      <c r="J302" s="9" t="n">
        <v>0.2447936228476329</v>
      </c>
      <c r="K302" s="9" t="n">
        <v>1.251755498453302</v>
      </c>
      <c r="L302" s="9" t="n">
        <v>0.0437653189324095</v>
      </c>
      <c r="M302" s="9" t="n">
        <v>0.1410164391894653</v>
      </c>
      <c r="N302" s="9" t="n">
        <v>1.085736204758131</v>
      </c>
      <c r="O302" s="9" t="n">
        <v>5.162152051312113</v>
      </c>
      <c r="P302" s="9" t="n">
        <v>0.8609512047693072</v>
      </c>
      <c r="Q302" s="9" t="n">
        <v>0.4172545177506112</v>
      </c>
      <c r="R302" s="9" t="n">
        <v>0.3864864864864854</v>
      </c>
      <c r="S302" s="9" t="n">
        <v>0.7454822555520444</v>
      </c>
      <c r="T302" s="9" t="n">
        <v>89837920977.62805</v>
      </c>
      <c r="U302" s="9" t="n">
        <v>0.1843398082735443</v>
      </c>
      <c r="V302" s="9" t="n">
        <v>0.0005530843701478</v>
      </c>
      <c r="W302" s="9" t="n">
        <v>-0.6324555320336758</v>
      </c>
      <c r="X302" s="9" t="n">
        <v>2.708664000977973</v>
      </c>
      <c r="Y302" s="9" t="n">
        <v>9.94492443864555</v>
      </c>
      <c r="Z302" s="9" t="n">
        <v>27.43969395339629</v>
      </c>
      <c r="AA302" s="9" t="n">
        <v>14.00997056121828</v>
      </c>
      <c r="AB302" s="9" t="n">
        <v>41.48623352403764</v>
      </c>
      <c r="AC302" s="9" t="n">
        <v>2.321019481847029</v>
      </c>
      <c r="AD302" s="9" t="n">
        <v>130.0512372685262</v>
      </c>
      <c r="AE302" s="9" t="n">
        <v>818.5891539351869</v>
      </c>
      <c r="AF302" s="9" t="n">
        <v>17455.65370833333</v>
      </c>
      <c r="AG302" s="9" t="n">
        <v>17455.65370833333</v>
      </c>
      <c r="AH302" s="8" t="inlineStr">
        <is>
          <t>Moderate (5.0-5.9)</t>
        </is>
      </c>
    </row>
    <row r="303">
      <c r="A303" s="8" t="inlineStr">
        <is>
          <t>2000-07-16 03:21:43.000</t>
        </is>
      </c>
      <c r="B303" s="8" t="n">
        <v>2000</v>
      </c>
      <c r="C303" s="9" t="n">
        <v>20.327</v>
      </c>
      <c r="D303" s="9" t="n">
        <v>122.211</v>
      </c>
      <c r="E303" s="8" t="n">
        <v>15</v>
      </c>
      <c r="F303" s="9" t="n">
        <v>6.4</v>
      </c>
      <c r="G303" s="9" t="n">
        <v>3</v>
      </c>
      <c r="H303" s="9" t="n">
        <v>5.2</v>
      </c>
      <c r="I303" s="9" t="n">
        <v>4.5</v>
      </c>
      <c r="J303" s="9" t="n">
        <v>0.3557740371585576</v>
      </c>
      <c r="K303" s="9" t="n">
        <v>1.742730666445642</v>
      </c>
      <c r="L303" s="9" t="n">
        <v>0.1049658473777861</v>
      </c>
      <c r="M303" s="9" t="n">
        <v>0.1010766647851907</v>
      </c>
      <c r="N303" s="9" t="n">
        <v>0.7896263307331853</v>
      </c>
      <c r="O303" s="9" t="n">
        <v>3.635626577652404</v>
      </c>
      <c r="P303" s="9" t="n">
        <v>0.5170621596276367</v>
      </c>
      <c r="Q303" s="9" t="n">
        <v>0.2240945315072584</v>
      </c>
      <c r="R303" s="9" t="n">
        <v>0.3015799793480713</v>
      </c>
      <c r="S303" s="9" t="n">
        <v>0.5957632412325395</v>
      </c>
      <c r="T303" s="9" t="n">
        <v>48597023284.12859</v>
      </c>
      <c r="U303" s="9" t="n">
        <v>0.0856402425288703</v>
      </c>
      <c r="V303" s="9" t="n">
        <v>0.0042768203492089</v>
      </c>
      <c r="W303" s="9" t="n">
        <v>1</v>
      </c>
      <c r="X303" s="9" t="n">
        <v>5.887866499588108</v>
      </c>
      <c r="Y303" s="9" t="n">
        <v>60.0468707321749</v>
      </c>
      <c r="Z303" s="9" t="n">
        <v>67.8579260508741</v>
      </c>
      <c r="AA303" s="9" t="n">
        <v>13.3484150821543</v>
      </c>
      <c r="AB303" s="9" t="n">
        <v>60.59116858433016</v>
      </c>
      <c r="AC303" s="9" t="n">
        <v>1001.139797146781</v>
      </c>
      <c r="AD303" s="9" t="n">
        <v>2615.709800925924</v>
      </c>
      <c r="AE303" s="9" t="n">
        <v>25409.52105324074</v>
      </c>
      <c r="AF303" s="9" t="n">
        <v>43535.17270833333</v>
      </c>
      <c r="AG303" s="9" t="n">
        <v>43535.17270833333</v>
      </c>
      <c r="AH303" s="8" t="inlineStr">
        <is>
          <t>Strong (6.0-6.9)</t>
        </is>
      </c>
    </row>
    <row r="304">
      <c r="A304" s="8" t="inlineStr">
        <is>
          <t>2001-01-02 07:30:03.800</t>
        </is>
      </c>
      <c r="B304" s="8" t="n">
        <v>2001</v>
      </c>
      <c r="C304" s="9" t="n">
        <v>6.483</v>
      </c>
      <c r="D304" s="9" t="n">
        <v>127.232</v>
      </c>
      <c r="E304" s="8" t="n">
        <v>47</v>
      </c>
      <c r="F304" s="9" t="n">
        <v>6.2</v>
      </c>
      <c r="G304" s="9" t="n">
        <v>18</v>
      </c>
      <c r="H304" s="9" t="n">
        <v>7.2</v>
      </c>
      <c r="I304" s="9" t="n">
        <v>4.661111111111111</v>
      </c>
      <c r="J304" s="9" t="n">
        <v>0.379260895936938</v>
      </c>
      <c r="K304" s="9" t="n">
        <v>2.44336423553221</v>
      </c>
      <c r="L304" s="9" t="n">
        <v>0.0579924347098626</v>
      </c>
      <c r="M304" s="9" t="n">
        <v>0.2229306015114313</v>
      </c>
      <c r="N304" s="9" t="n">
        <v>0.6204206884332167</v>
      </c>
      <c r="O304" s="9" t="n">
        <v>3.746990206310457</v>
      </c>
      <c r="P304" s="9" t="n">
        <v>0.1551914359156473</v>
      </c>
      <c r="Q304" s="9" t="n">
        <v>0.3039363943625911</v>
      </c>
      <c r="R304" s="9" t="n">
        <v>0.7575635091615593</v>
      </c>
      <c r="S304" s="9" t="n">
        <v>1.160565345148399</v>
      </c>
      <c r="T304" s="9" t="n">
        <v>3021192626059.042</v>
      </c>
      <c r="U304" s="9" t="n">
        <v>0.0728144061981142</v>
      </c>
      <c r="V304" s="9" t="n">
        <v>0.0137637867330504</v>
      </c>
      <c r="W304" s="9" t="n">
        <v>-1.139940893486022</v>
      </c>
      <c r="X304" s="9" t="n">
        <v>17.36231060005857</v>
      </c>
      <c r="Y304" s="9" t="n">
        <v>5.80003230904811</v>
      </c>
      <c r="Z304" s="9" t="n">
        <v>27.28294170366213</v>
      </c>
      <c r="AA304" s="9" t="n">
        <v>15.50618662161249</v>
      </c>
      <c r="AB304" s="9" t="n">
        <v>44.88621909868505</v>
      </c>
      <c r="AC304" s="9" t="n">
        <v>-13.54959328876303</v>
      </c>
      <c r="AD304" s="9" t="n">
        <v>1.022879629636009</v>
      </c>
      <c r="AE304" s="9" t="n">
        <v>1.022879629636009</v>
      </c>
      <c r="AF304" s="9" t="n">
        <v>1.022879629636009</v>
      </c>
      <c r="AG304" s="9" t="n">
        <v>28021.6299050926</v>
      </c>
      <c r="AH304" s="8" t="inlineStr">
        <is>
          <t>Strong (6.0-6.9)</t>
        </is>
      </c>
    </row>
    <row r="305">
      <c r="A305" s="8" t="inlineStr">
        <is>
          <t>2001-01-05 01:41:59.080</t>
        </is>
      </c>
      <c r="B305" s="8" t="n">
        <v>2001</v>
      </c>
      <c r="C305" s="9" t="n">
        <v>6.808</v>
      </c>
      <c r="D305" s="9" t="n">
        <v>127.455</v>
      </c>
      <c r="E305" s="8" t="n">
        <v>30</v>
      </c>
      <c r="F305" s="9" t="n">
        <v>5</v>
      </c>
      <c r="G305" s="9" t="n">
        <v>26</v>
      </c>
      <c r="H305" s="9" t="n">
        <v>7.2</v>
      </c>
      <c r="I305" s="9" t="n">
        <v>4.626923076923076</v>
      </c>
      <c r="J305" s="9" t="n">
        <v>0.4428375911875505</v>
      </c>
      <c r="K305" s="9" t="n">
        <v>2.952315886227171</v>
      </c>
      <c r="L305" s="9" t="n">
        <v>0.06351934526973479</v>
      </c>
      <c r="M305" s="9" t="n">
        <v>0.1464960130692328</v>
      </c>
      <c r="N305" s="9" t="n">
        <v>0.6274977305066</v>
      </c>
      <c r="O305" s="9" t="n">
        <v>3.914244069080549</v>
      </c>
      <c r="P305" s="9" t="n">
        <v>0.1275385197872508</v>
      </c>
      <c r="Q305" s="9" t="n">
        <v>0.2334701628183589</v>
      </c>
      <c r="R305" s="9" t="n">
        <v>0.5331859241895147</v>
      </c>
      <c r="S305" s="9" t="n">
        <v>0.9621382854716494</v>
      </c>
      <c r="T305" s="9" t="n">
        <v>3045110238855.081</v>
      </c>
      <c r="U305" s="9" t="n">
        <v>0.0469339629796111</v>
      </c>
      <c r="V305" s="9" t="n">
        <v>0.0131071059035257</v>
      </c>
      <c r="W305" s="9" t="n">
        <v>-1.617644643779463</v>
      </c>
      <c r="X305" s="9" t="n">
        <v>22.41903961546979</v>
      </c>
      <c r="Y305" s="9" t="n">
        <v>5.80003230904811</v>
      </c>
      <c r="Z305" s="9" t="n">
        <v>26.98604591842203</v>
      </c>
      <c r="AA305" s="9" t="n">
        <v>14.13045121196629</v>
      </c>
      <c r="AB305" s="9" t="n">
        <v>43.89144137406329</v>
      </c>
      <c r="AC305" s="9" t="n">
        <v>1.133952325499637</v>
      </c>
      <c r="AD305" s="9" t="n">
        <v>2.758278703702672</v>
      </c>
      <c r="AE305" s="9" t="n">
        <v>3.781158333338681</v>
      </c>
      <c r="AF305" s="9" t="n">
        <v>3.781158333338681</v>
      </c>
      <c r="AG305" s="9" t="n">
        <v>21044.10721157408</v>
      </c>
      <c r="AH305" s="8" t="inlineStr">
        <is>
          <t>Moderate (5.0-5.9)</t>
        </is>
      </c>
    </row>
    <row r="306">
      <c r="A306" s="8" t="inlineStr">
        <is>
          <t>2001-01-05 22:51:42.120</t>
        </is>
      </c>
      <c r="B306" s="8" t="n">
        <v>2001</v>
      </c>
      <c r="C306" s="9" t="n">
        <v>6.776</v>
      </c>
      <c r="D306" s="9" t="n">
        <v>127.594</v>
      </c>
      <c r="E306" s="8" t="n">
        <v>23</v>
      </c>
      <c r="F306" s="9" t="n">
        <v>5.2</v>
      </c>
      <c r="G306" s="9" t="n">
        <v>27</v>
      </c>
      <c r="H306" s="9" t="n">
        <v>7.2</v>
      </c>
      <c r="I306" s="9" t="n">
        <v>4.640740740740741</v>
      </c>
      <c r="J306" s="9" t="n">
        <v>0.459049568706464</v>
      </c>
      <c r="K306" s="9" t="n">
        <v>3.05800688979441</v>
      </c>
      <c r="L306" s="9" t="n">
        <v>0.0660192217759478</v>
      </c>
      <c r="M306" s="9" t="n">
        <v>0.1510667566313253</v>
      </c>
      <c r="N306" s="9" t="n">
        <v>0.6204206884332175</v>
      </c>
      <c r="O306" s="9" t="n">
        <v>3.906796887083495</v>
      </c>
      <c r="P306" s="9" t="n">
        <v>0.1205934655381858</v>
      </c>
      <c r="Q306" s="9" t="n">
        <v>0.2155564317369191</v>
      </c>
      <c r="R306" s="9" t="n">
        <v>0.5383950268999582</v>
      </c>
      <c r="S306" s="9" t="n">
        <v>0.9029874085122084</v>
      </c>
      <c r="T306" s="9" t="n">
        <v>3045274432096.4</v>
      </c>
      <c r="U306" s="9" t="n">
        <v>0.0419615279553775</v>
      </c>
      <c r="V306" s="9" t="n">
        <v>0.0137637867330503</v>
      </c>
      <c r="W306" s="9" t="n">
        <v>-1.935164854398361</v>
      </c>
      <c r="X306" s="9" t="n">
        <v>24.13784981551668</v>
      </c>
      <c r="Y306" s="9" t="n">
        <v>5.80003230904811</v>
      </c>
      <c r="Z306" s="9" t="n">
        <v>26.93579301898042</v>
      </c>
      <c r="AA306" s="9" t="n">
        <v>13.85850764080068</v>
      </c>
      <c r="AB306" s="9" t="n">
        <v>43.88260912876603</v>
      </c>
      <c r="AC306" s="9" t="n">
        <v>0.8522486947429254</v>
      </c>
      <c r="AD306" s="9" t="n">
        <v>3.640026851848233</v>
      </c>
      <c r="AE306" s="9" t="n">
        <v>4.662906481484242</v>
      </c>
      <c r="AF306" s="9" t="n">
        <v>4.662906481484242</v>
      </c>
      <c r="AG306" s="9" t="n">
        <v>21044.98895972222</v>
      </c>
      <c r="AH306" s="8" t="inlineStr">
        <is>
          <t>Moderate (5.0-5.9)</t>
        </is>
      </c>
    </row>
    <row r="307">
      <c r="A307" s="8" t="inlineStr">
        <is>
          <t>2001-01-08 04:20:49.890</t>
        </is>
      </c>
      <c r="B307" s="8" t="n">
        <v>2001</v>
      </c>
      <c r="C307" s="9" t="n">
        <v>5.488</v>
      </c>
      <c r="D307" s="9" t="n">
        <v>127.523</v>
      </c>
      <c r="E307" s="8" t="n">
        <v>33</v>
      </c>
      <c r="F307" s="9" t="n">
        <v>5.5</v>
      </c>
      <c r="G307" s="9" t="n">
        <v>4</v>
      </c>
      <c r="H307" s="9" t="n">
        <v>4.9</v>
      </c>
      <c r="I307" s="9" t="n">
        <v>4.550000000000001</v>
      </c>
      <c r="J307" s="9" t="n">
        <v>0.7279795844396472</v>
      </c>
      <c r="K307" s="9" t="n">
        <v>3.621753130148919</v>
      </c>
      <c r="L307" s="9" t="n">
        <v>0.2081659224336045</v>
      </c>
      <c r="M307" s="9" t="n">
        <v>0.0864882029923712</v>
      </c>
      <c r="N307" s="9" t="n">
        <v>0.8685889638065021</v>
      </c>
      <c r="O307" s="9" t="n">
        <v>4.163274742934621</v>
      </c>
      <c r="P307" s="9" t="n">
        <v>0.296346531884854</v>
      </c>
      <c r="Q307" s="9" t="n">
        <v>0.130868683972309</v>
      </c>
      <c r="R307" s="9" t="n">
        <v>-0.0750751361203576</v>
      </c>
      <c r="S307" s="9" t="n">
        <v>0.1068528194400535</v>
      </c>
      <c r="T307" s="9" t="n">
        <v>33150829079.97734</v>
      </c>
      <c r="U307" s="9" t="n">
        <v>0.0065472850109865</v>
      </c>
      <c r="V307" s="9" t="n">
        <v>0.0024787521766663</v>
      </c>
      <c r="W307" s="9" t="n">
        <v>-1.333333333333333</v>
      </c>
      <c r="X307" s="9" t="n">
        <v>4.819094914515003</v>
      </c>
      <c r="Y307" s="9" t="n">
        <v>18.0672042612634</v>
      </c>
      <c r="Z307" s="9" t="n">
        <v>36.0642990764676</v>
      </c>
      <c r="AA307" s="9" t="n">
        <v>12.7863003786425</v>
      </c>
      <c r="AB307" s="9" t="n">
        <v>37.75942976583349</v>
      </c>
      <c r="AC307" s="9" t="n">
        <v>7.929766148821066</v>
      </c>
      <c r="AD307" s="9" t="n">
        <v>569.726061226851</v>
      </c>
      <c r="AE307" s="9" t="n">
        <v>858.8217140046254</v>
      </c>
      <c r="AF307" s="9" t="n">
        <v>858.8217140046254</v>
      </c>
      <c r="AG307" s="9" t="n">
        <v>15811.83315844907</v>
      </c>
      <c r="AH307" s="8" t="inlineStr">
        <is>
          <t>Moderate (5.0-5.9)</t>
        </is>
      </c>
    </row>
    <row r="308">
      <c r="A308" s="8" t="inlineStr">
        <is>
          <t>2003-06-26 14:11:45.510</t>
        </is>
      </c>
      <c r="B308" s="8" t="n">
        <v>2003</v>
      </c>
      <c r="C308" s="9" t="n">
        <v>12.292</v>
      </c>
      <c r="D308" s="9" t="n">
        <v>123.817</v>
      </c>
      <c r="E308" s="8" t="n">
        <v>4</v>
      </c>
      <c r="F308" s="9" t="n">
        <v>6</v>
      </c>
      <c r="G308" s="9" t="n">
        <v>3</v>
      </c>
      <c r="H308" s="9" t="n">
        <v>4.7</v>
      </c>
      <c r="I308" s="9" t="n">
        <v>4.4</v>
      </c>
      <c r="J308" s="9" t="n">
        <v>0.5767855668282784</v>
      </c>
      <c r="K308" s="9" t="n">
        <v>2.756801119832958</v>
      </c>
      <c r="L308" s="9" t="n">
        <v>0.1592823495953638</v>
      </c>
      <c r="M308" s="9" t="n">
        <v>0.08437908520728291</v>
      </c>
      <c r="N308" s="9" t="n">
        <v>0.9650988486738944</v>
      </c>
      <c r="O308" s="9" t="n">
        <v>4.337516649415241</v>
      </c>
      <c r="P308" s="9" t="n">
        <v>0.4459462126284336</v>
      </c>
      <c r="Q308" s="9" t="n">
        <v>0.1720697027690376</v>
      </c>
      <c r="R308" s="9" t="n">
        <v>-0.0795944946967042</v>
      </c>
      <c r="S308" s="9" t="n">
        <v>0.2056244700993517</v>
      </c>
      <c r="T308" s="9" t="n">
        <v>20739928240.39389</v>
      </c>
      <c r="U308" s="9" t="n">
        <v>0.0186055837053991</v>
      </c>
      <c r="V308" s="9" t="n">
        <v>0.0012726338013397</v>
      </c>
      <c r="W308" s="9" t="n">
        <v>0.6123724356957945</v>
      </c>
      <c r="X308" s="9" t="n">
        <v>3.259718258647996</v>
      </c>
      <c r="Y308" s="9" t="n">
        <v>0.5710635016114181</v>
      </c>
      <c r="Z308" s="9" t="n">
        <v>4.909506176334476</v>
      </c>
      <c r="AA308" s="9" t="n">
        <v>3.815294785068992</v>
      </c>
      <c r="AB308" s="9" t="n">
        <v>6.922057157264104</v>
      </c>
      <c r="AC308" s="9" t="n">
        <v>0.0858083856484804</v>
      </c>
      <c r="AD308" s="9" t="n">
        <v>131.1317784722269</v>
      </c>
      <c r="AE308" s="9" t="n">
        <v>16748.23249432871</v>
      </c>
      <c r="AF308" s="9" t="n">
        <v>21969.50876747685</v>
      </c>
      <c r="AG308" s="9" t="n">
        <v>43535.17270833333</v>
      </c>
      <c r="AH308" s="8" t="inlineStr">
        <is>
          <t>Strong (6.0-6.9)</t>
        </is>
      </c>
    </row>
    <row r="309">
      <c r="A309" s="8" t="inlineStr">
        <is>
          <t>2004-02-26 17:25:55.910</t>
        </is>
      </c>
      <c r="B309" s="8" t="n">
        <v>2004</v>
      </c>
      <c r="C309" s="9" t="n">
        <v>8.177</v>
      </c>
      <c r="D309" s="9" t="n">
        <v>123.294</v>
      </c>
      <c r="E309" s="8" t="n">
        <v>20</v>
      </c>
      <c r="F309" s="9" t="n">
        <v>5</v>
      </c>
      <c r="G309" s="9" t="n">
        <v>4</v>
      </c>
      <c r="H309" s="9" t="n">
        <v>5</v>
      </c>
      <c r="I309" s="9" t="n">
        <v>4.55</v>
      </c>
      <c r="J309" s="9" t="n">
        <v>0.7074102276214955</v>
      </c>
      <c r="K309" s="9" t="n">
        <v>3.512367909925695</v>
      </c>
      <c r="L309" s="9" t="n">
        <v>0.2228877185446333</v>
      </c>
      <c r="M309" s="9" t="n">
        <v>0.06839596503438911</v>
      </c>
      <c r="N309" s="9" t="n">
        <v>0.8685889638065036</v>
      </c>
      <c r="O309" s="9" t="n">
        <v>4.163274742934627</v>
      </c>
      <c r="P309" s="9" t="n">
        <v>0.336025382255914</v>
      </c>
      <c r="Q309" s="9" t="n">
        <v>0.1179277233054863</v>
      </c>
      <c r="R309" s="9" t="n">
        <v>0.034892382408401</v>
      </c>
      <c r="S309" s="9" t="n">
        <v>0.2068528194400549</v>
      </c>
      <c r="T309" s="9" t="n">
        <v>37357299910.63497</v>
      </c>
      <c r="U309" s="9" t="n">
        <v>0.0075469125415015</v>
      </c>
      <c r="V309" s="9" t="n">
        <v>0.0024787521766663</v>
      </c>
      <c r="W309" s="9" t="n">
        <v>-0.9999999999999998</v>
      </c>
      <c r="X309" s="9" t="n">
        <v>8.867725110565202</v>
      </c>
      <c r="Y309" s="9" t="n">
        <v>3.66212367934378</v>
      </c>
      <c r="Z309" s="9" t="n">
        <v>6.42261611009406</v>
      </c>
      <c r="AA309" s="9" t="n">
        <v>2.967043304674225</v>
      </c>
      <c r="AB309" s="9" t="n">
        <v>8.062578069256846</v>
      </c>
      <c r="AC309" s="9" t="n">
        <v>-4.686847336952333</v>
      </c>
      <c r="AD309" s="9" t="n">
        <v>423.5255394675987</v>
      </c>
      <c r="AE309" s="9" t="n">
        <v>17863.96443877315</v>
      </c>
      <c r="AF309" s="9" t="n">
        <v>17863.96443877315</v>
      </c>
      <c r="AG309" s="9" t="n">
        <v>43535.17270833333</v>
      </c>
      <c r="AH309" s="8" t="inlineStr">
        <is>
          <t>Moderate (5.0-5.9)</t>
        </is>
      </c>
    </row>
    <row r="310">
      <c r="A310" s="8" t="inlineStr">
        <is>
          <t>2004-07-31 04:48:21.470</t>
        </is>
      </c>
      <c r="B310" s="8" t="n">
        <v>2004</v>
      </c>
      <c r="C310" s="9" t="n">
        <v>19.916</v>
      </c>
      <c r="D310" s="9" t="n">
        <v>122.655</v>
      </c>
      <c r="E310" s="8" t="n">
        <v>1</v>
      </c>
      <c r="F310" s="9" t="n">
        <v>5.1</v>
      </c>
      <c r="G310" s="9" t="n">
        <v>9</v>
      </c>
      <c r="H310" s="9" t="n">
        <v>4.7</v>
      </c>
      <c r="I310" s="9" t="n">
        <v>4.266666666666667</v>
      </c>
      <c r="J310" s="9" t="n">
        <v>1.597645724196613</v>
      </c>
      <c r="K310" s="9" t="n">
        <v>7.501553892360152</v>
      </c>
      <c r="L310" s="9" t="n">
        <v>0.5084162588458392</v>
      </c>
      <c r="M310" s="9" t="n">
        <v>0.1127810640794055</v>
      </c>
      <c r="N310" s="9" t="n">
        <v>1.400949941623395</v>
      </c>
      <c r="O310" s="9" t="n">
        <v>6.582959759154277</v>
      </c>
      <c r="P310" s="9" t="n">
        <v>0.3909342335533701</v>
      </c>
      <c r="Q310" s="9" t="n">
        <v>0.1108074729410173</v>
      </c>
      <c r="R310" s="9" t="n">
        <v>0.0046199299707945</v>
      </c>
      <c r="S310" s="9" t="n">
        <v>0.0010742471454294</v>
      </c>
      <c r="T310" s="9" t="n">
        <v>26863200338.14011</v>
      </c>
      <c r="U310" s="9" t="n">
        <v>1.610878656821559e-05</v>
      </c>
      <c r="V310" s="9" t="n">
        <v>6.268305795836468e-05</v>
      </c>
      <c r="W310" s="9" t="n">
        <v>-1.995897431577346</v>
      </c>
      <c r="X310" s="9" t="n">
        <v>12.27700756236849</v>
      </c>
      <c r="Y310" s="9" t="n">
        <v>34.8529038792234</v>
      </c>
      <c r="Z310" s="9" t="n">
        <v>57.49049072025876</v>
      </c>
      <c r="AA310" s="9" t="n">
        <v>13.4148529303216</v>
      </c>
      <c r="AB310" s="9" t="n">
        <v>62.15336573411973</v>
      </c>
      <c r="AC310" s="9" t="n">
        <v>8.276663594497544</v>
      </c>
      <c r="AD310" s="9" t="n">
        <v>1476.060167476855</v>
      </c>
      <c r="AE310" s="9" t="n">
        <v>26885.58122071759</v>
      </c>
      <c r="AF310" s="9" t="n">
        <v>43535.17270833333</v>
      </c>
      <c r="AG310" s="9" t="n">
        <v>43535.17270833333</v>
      </c>
      <c r="AH310" s="8" t="inlineStr">
        <is>
          <t>Moderate (5.0-5.9)</t>
        </is>
      </c>
    </row>
    <row r="311">
      <c r="A311" s="8" t="inlineStr">
        <is>
          <t>2005-02-20 05:08:39.170</t>
        </is>
      </c>
      <c r="B311" s="8" t="n">
        <v>2005</v>
      </c>
      <c r="C311" s="9" t="n">
        <v>8.925000000000001</v>
      </c>
      <c r="D311" s="9" t="n">
        <v>126.427</v>
      </c>
      <c r="E311" s="8" t="n">
        <v>48</v>
      </c>
      <c r="F311" s="9" t="n">
        <v>5.1</v>
      </c>
      <c r="G311" s="9" t="n">
        <v>3</v>
      </c>
      <c r="H311" s="9" t="n">
        <v>5</v>
      </c>
      <c r="I311" s="9" t="n">
        <v>4.7</v>
      </c>
      <c r="J311" s="9" t="n">
        <v>0.3180808364797747</v>
      </c>
      <c r="K311" s="9" t="n">
        <v>1.750319761625578</v>
      </c>
      <c r="L311" s="9" t="n">
        <v>0.0585624205128726</v>
      </c>
      <c r="M311" s="9" t="n">
        <v>0.0860141913557106</v>
      </c>
      <c r="N311" s="9" t="n">
        <v>0.7896263307331853</v>
      </c>
      <c r="O311" s="9" t="n">
        <v>3.793551843799041</v>
      </c>
      <c r="P311" s="9" t="n">
        <v>0.3609003080423377</v>
      </c>
      <c r="Q311" s="9" t="n">
        <v>0.2046967960857552</v>
      </c>
      <c r="R311" s="9" t="n">
        <v>-0.5027513791666998</v>
      </c>
      <c r="S311" s="9" t="n">
        <v>0.1957632412325392</v>
      </c>
      <c r="T311" s="9" t="n">
        <v>41194675062.25289</v>
      </c>
      <c r="U311" s="9" t="n">
        <v>0.1111111111111112</v>
      </c>
      <c r="V311" s="9" t="n">
        <v>0.0042768203492089</v>
      </c>
      <c r="W311" s="9" t="n">
        <v>0.4472135954999578</v>
      </c>
      <c r="X311" s="9" t="n">
        <v>2.599710778816777</v>
      </c>
      <c r="Y311" s="9" t="n">
        <v>36.1598166883228</v>
      </c>
      <c r="Z311" s="9" t="n">
        <v>46.79659857512127</v>
      </c>
      <c r="AA311" s="9" t="n">
        <v>18.20213711789506</v>
      </c>
      <c r="AB311" s="9" t="n">
        <v>54.13543166324753</v>
      </c>
      <c r="AC311" s="9" t="n">
        <v>3.327562815243829</v>
      </c>
      <c r="AD311" s="9" t="n">
        <v>2693.693456828704</v>
      </c>
      <c r="AE311" s="9" t="n">
        <v>2693.693456828704</v>
      </c>
      <c r="AF311" s="9" t="n">
        <v>19330.75801122685</v>
      </c>
      <c r="AG311" s="9" t="n">
        <v>19330.75801122685</v>
      </c>
      <c r="AH311" s="8" t="inlineStr">
        <is>
          <t>Moderate (5.0-5.9)</t>
        </is>
      </c>
    </row>
    <row r="312">
      <c r="A312" s="8" t="inlineStr">
        <is>
          <t>2006-05-31 18:06:50.430</t>
        </is>
      </c>
      <c r="B312" s="8" t="n">
        <v>2006</v>
      </c>
      <c r="C312" s="9" t="n">
        <v>20.912</v>
      </c>
      <c r="D312" s="9" t="n">
        <v>119.955</v>
      </c>
      <c r="E312" s="8" t="n">
        <v>74</v>
      </c>
      <c r="F312" s="9" t="n">
        <v>5.2</v>
      </c>
      <c r="G312" s="9" t="n">
        <v>4</v>
      </c>
      <c r="H312" s="9" t="n">
        <v>5</v>
      </c>
      <c r="I312" s="9" t="n">
        <v>4.525</v>
      </c>
      <c r="J312" s="9" t="n">
        <v>0.675393635065917</v>
      </c>
      <c r="K312" s="9" t="n">
        <v>3.349083287892245</v>
      </c>
      <c r="L312" s="9" t="n">
        <v>0.2114649772775532</v>
      </c>
      <c r="M312" s="9" t="n">
        <v>0.06824747218771381</v>
      </c>
      <c r="N312" s="9" t="n">
        <v>0.9143041724278976</v>
      </c>
      <c r="O312" s="9" t="n">
        <v>4.350707098282342</v>
      </c>
      <c r="P312" s="9" t="n">
        <v>0.3875305336286677</v>
      </c>
      <c r="Q312" s="9" t="n">
        <v>0.1305116147777208</v>
      </c>
      <c r="R312" s="9" t="n">
        <v>0.0412868673756721</v>
      </c>
      <c r="S312" s="9" t="n">
        <v>0.2415101784680509</v>
      </c>
      <c r="T312" s="9" t="n">
        <v>36977636037.05106</v>
      </c>
      <c r="U312" s="9" t="n">
        <v>0.0094149733448122</v>
      </c>
      <c r="V312" s="9" t="n">
        <v>0.0018075381933252</v>
      </c>
      <c r="W312" s="9" t="n">
        <v>-2.82842712474619</v>
      </c>
      <c r="X312" s="9" t="n">
        <v>7.343625335737808</v>
      </c>
      <c r="Y312" s="9" t="n">
        <v>10.5573778505197</v>
      </c>
      <c r="Z312" s="9" t="n">
        <v>20.24847638580235</v>
      </c>
      <c r="AA312" s="9" t="n">
        <v>10.85403976373671</v>
      </c>
      <c r="AB312" s="9" t="n">
        <v>29.04312919185743</v>
      </c>
      <c r="AC312" s="9" t="n">
        <v>-2.388085985743048</v>
      </c>
      <c r="AD312" s="9" t="n">
        <v>12562.52697256944</v>
      </c>
      <c r="AE312" s="9" t="n">
        <v>12562.52697256944</v>
      </c>
      <c r="AF312" s="9" t="n">
        <v>12562.52697256944</v>
      </c>
      <c r="AG312" s="9" t="n">
        <v>43535.17270833333</v>
      </c>
      <c r="AH312" s="8" t="inlineStr">
        <is>
          <t>Moderate (5.0-5.9)</t>
        </is>
      </c>
    </row>
    <row r="313">
      <c r="A313" s="8" t="inlineStr">
        <is>
          <t>2006-10-20 22:09:28.000</t>
        </is>
      </c>
      <c r="B313" s="8" t="n">
        <v>2006</v>
      </c>
      <c r="C313" s="9" t="n">
        <v>13.442</v>
      </c>
      <c r="D313" s="9" t="n">
        <v>121.552</v>
      </c>
      <c r="E313" s="8" t="n">
        <v>11</v>
      </c>
      <c r="F313" s="9" t="n">
        <v>5.1</v>
      </c>
      <c r="G313" s="9" t="n">
        <v>5</v>
      </c>
      <c r="H313" s="9" t="n">
        <v>5.2</v>
      </c>
      <c r="I313" s="9" t="n">
        <v>4.32</v>
      </c>
      <c r="J313" s="9" t="n">
        <v>0.2462972691796211</v>
      </c>
      <c r="K313" s="9" t="n">
        <v>1.21232989162858</v>
      </c>
      <c r="L313" s="9" t="n">
        <v>0.0316321410678029</v>
      </c>
      <c r="M313" s="9" t="n">
        <v>0.0903089986991943</v>
      </c>
      <c r="N313" s="9" t="n">
        <v>0.7238241365054201</v>
      </c>
      <c r="O313" s="9" t="n">
        <v>3.341091368986746</v>
      </c>
      <c r="P313" s="9" t="n">
        <v>0.2731967429279686</v>
      </c>
      <c r="Q313" s="9" t="n">
        <v>0.214918598712319</v>
      </c>
      <c r="R313" s="9" t="n">
        <v>0.2777777777777768</v>
      </c>
      <c r="S313" s="9" t="n">
        <v>0.5841116916640328</v>
      </c>
      <c r="T313" s="9" t="n">
        <v>49005182717.67738</v>
      </c>
      <c r="U313" s="9" t="n">
        <v>0.1824350132101805</v>
      </c>
      <c r="V313" s="9" t="n">
        <v>0.0067379469990854</v>
      </c>
      <c r="W313" s="9" t="n">
        <v>-1</v>
      </c>
      <c r="X313" s="9" t="n">
        <v>11.19630040938268</v>
      </c>
      <c r="Y313" s="9" t="n">
        <v>5.62001019429203</v>
      </c>
      <c r="Z313" s="9" t="n">
        <v>8.163893143822316</v>
      </c>
      <c r="AA313" s="9" t="n">
        <v>2.050053860721082</v>
      </c>
      <c r="AB313" s="9" t="n">
        <v>8.919934524221683</v>
      </c>
      <c r="AC313" s="9" t="n">
        <v>-16.41789724814048</v>
      </c>
      <c r="AD313" s="9" t="n">
        <v>4357.898292824069</v>
      </c>
      <c r="AE313" s="9" t="n">
        <v>4358.120835648148</v>
      </c>
      <c r="AF313" s="9" t="n">
        <v>4358.120835648148</v>
      </c>
      <c r="AG313" s="9" t="n">
        <v>43535.17270833333</v>
      </c>
      <c r="AH313" s="8" t="inlineStr">
        <is>
          <t>Moderate (5.0-5.9)</t>
        </is>
      </c>
    </row>
    <row r="314">
      <c r="A314" s="8" t="inlineStr">
        <is>
          <t>2007-02-19 11:12:58.230</t>
        </is>
      </c>
      <c r="B314" s="8" t="n">
        <v>2007</v>
      </c>
      <c r="C314" s="9" t="n">
        <v>5.151</v>
      </c>
      <c r="D314" s="9" t="n">
        <v>126.652</v>
      </c>
      <c r="E314" s="8" t="n">
        <v>24</v>
      </c>
      <c r="F314" s="9" t="n">
        <v>5.4</v>
      </c>
      <c r="G314" s="9" t="n">
        <v>4</v>
      </c>
      <c r="H314" s="9" t="n">
        <v>6.1</v>
      </c>
      <c r="I314" s="9" t="n">
        <v>4.75</v>
      </c>
      <c r="J314" s="9" t="n">
        <v>0.1809447451159797</v>
      </c>
      <c r="K314" s="9" t="n">
        <v>1.000875999432876</v>
      </c>
      <c r="L314" s="9" t="n">
        <v>0.0340261024589794</v>
      </c>
      <c r="M314" s="9" t="n">
        <v>0.1391256861418491</v>
      </c>
      <c r="N314" s="9" t="n">
        <v>0.7238241365054201</v>
      </c>
      <c r="O314" s="9" t="n">
        <v>3.642121364650727</v>
      </c>
      <c r="P314" s="9" t="n">
        <v>0.544485573099861</v>
      </c>
      <c r="Q314" s="9" t="n">
        <v>0.3842668528582048</v>
      </c>
      <c r="R314" s="9" t="n">
        <v>0.5686097471836158</v>
      </c>
      <c r="S314" s="9" t="n">
        <v>1.068223383328066</v>
      </c>
      <c r="T314" s="9" t="n">
        <v>309311650074.9957</v>
      </c>
      <c r="U314" s="9" t="n">
        <v>0.2865271398684897</v>
      </c>
      <c r="V314" s="9" t="n">
        <v>0.0067379469990854</v>
      </c>
      <c r="W314" s="9" t="n">
        <v>0</v>
      </c>
      <c r="X314" s="9" t="n">
        <v>3.385016328659592</v>
      </c>
      <c r="Y314" s="9" t="n">
        <v>61.2058566480527</v>
      </c>
      <c r="Z314" s="9" t="n">
        <v>81.98042128557742</v>
      </c>
      <c r="AA314" s="9" t="n">
        <v>19.61001677634416</v>
      </c>
      <c r="AB314" s="9" t="n">
        <v>105.4396927739582</v>
      </c>
      <c r="AC314" s="9" t="n">
        <v>-1.600651759779486</v>
      </c>
      <c r="AD314" s="9" t="n">
        <v>6.935766319445975</v>
      </c>
      <c r="AE314" s="9" t="n">
        <v>3092.107921643517</v>
      </c>
      <c r="AF314" s="9" t="n">
        <v>3092.107921643517</v>
      </c>
      <c r="AG314" s="9" t="n">
        <v>25891.37741006945</v>
      </c>
      <c r="AH314" s="8" t="inlineStr">
        <is>
          <t>Moderate (5.0-5.9)</t>
        </is>
      </c>
    </row>
    <row r="315">
      <c r="A315" s="8" t="inlineStr">
        <is>
          <t>2007-03-15 06:07:58.180</t>
        </is>
      </c>
      <c r="B315" s="8" t="n">
        <v>2007</v>
      </c>
      <c r="C315" s="9" t="n">
        <v>3.948</v>
      </c>
      <c r="D315" s="9" t="n">
        <v>126.445</v>
      </c>
      <c r="E315" s="8" t="n">
        <v>9</v>
      </c>
      <c r="F315" s="9" t="n">
        <v>5.3</v>
      </c>
      <c r="G315" s="9" t="n">
        <v>3</v>
      </c>
      <c r="H315" s="9" t="n">
        <v>5.5</v>
      </c>
      <c r="I315" s="9" t="n">
        <v>5</v>
      </c>
      <c r="J315" s="9" t="n">
        <v>0.038843660085812</v>
      </c>
      <c r="K315" s="9" t="n">
        <v>0.4965430847625686</v>
      </c>
      <c r="L315" s="9" t="n">
        <v>0.0017351544181914</v>
      </c>
      <c r="M315" s="9" t="n">
        <v>0.0399500534317084</v>
      </c>
      <c r="N315" s="9" t="n">
        <v>0.4136137922888113</v>
      </c>
      <c r="O315" s="9" t="n">
        <v>2.131576423874908</v>
      </c>
      <c r="P315" s="9" t="n">
        <v>0.1967378245472617</v>
      </c>
      <c r="Q315" s="9" t="n">
        <v>0.2364259415740804</v>
      </c>
      <c r="R315" s="9" t="n">
        <v>-7.283117854126582</v>
      </c>
      <c r="S315" s="9" t="n">
        <v>0.3464570968984848</v>
      </c>
      <c r="T315" s="9" t="n">
        <v>126104772417.265</v>
      </c>
      <c r="U315" s="9" t="n">
        <v>0.7646611396363456</v>
      </c>
      <c r="V315" s="9" t="n">
        <v>0.0574326192676173</v>
      </c>
      <c r="W315" s="9" t="n">
        <v>-1.441153384245784</v>
      </c>
      <c r="X315" s="9" t="n">
        <v>3.612280987574101</v>
      </c>
      <c r="Y315" s="9" t="n">
        <v>141.146288553543</v>
      </c>
      <c r="Z315" s="9" t="n">
        <v>185.837110463118</v>
      </c>
      <c r="AA315" s="9" t="n">
        <v>40.51199095964196</v>
      </c>
      <c r="AB315" s="9" t="n">
        <v>207.9945636797996</v>
      </c>
      <c r="AC315" s="9" t="n">
        <v>32.01641449720583</v>
      </c>
      <c r="AD315" s="9" t="n">
        <v>348.3703677083322</v>
      </c>
      <c r="AE315" s="9" t="n">
        <v>24758.10740949073</v>
      </c>
      <c r="AF315" s="9" t="n">
        <v>24758.10740949073</v>
      </c>
      <c r="AG315" s="9" t="n">
        <v>34333.89095115741</v>
      </c>
      <c r="AH315" s="8" t="inlineStr">
        <is>
          <t>Moderate (5.0-5.9)</t>
        </is>
      </c>
    </row>
    <row r="316">
      <c r="A316" s="8" t="inlineStr">
        <is>
          <t>2007-03-20 03:10:32.000</t>
        </is>
      </c>
      <c r="B316" s="8" t="n">
        <v>2007</v>
      </c>
      <c r="C316" s="9" t="n">
        <v>9.27</v>
      </c>
      <c r="D316" s="9" t="n">
        <v>126.43</v>
      </c>
      <c r="E316" s="8" t="n">
        <v>49</v>
      </c>
      <c r="F316" s="9" t="n">
        <v>5.3</v>
      </c>
      <c r="G316" s="9" t="n">
        <v>3</v>
      </c>
      <c r="H316" s="9" t="n">
        <v>4.9</v>
      </c>
      <c r="I316" s="9" t="n">
        <v>4.633333333333334</v>
      </c>
      <c r="J316" s="9" t="n">
        <v>0.3976010455997177</v>
      </c>
      <c r="K316" s="9" t="n">
        <v>2.094497411066659</v>
      </c>
      <c r="L316" s="9" t="n">
        <v>0.0794759713855135</v>
      </c>
      <c r="M316" s="9" t="n">
        <v>0.0872431826260663</v>
      </c>
      <c r="N316" s="9" t="n">
        <v>0.8985403073860382</v>
      </c>
      <c r="O316" s="9" t="n">
        <v>4.250990545741023</v>
      </c>
      <c r="P316" s="9" t="n">
        <v>0.4058970889899519</v>
      </c>
      <c r="Q316" s="9" t="n">
        <v>0.1997408653381684</v>
      </c>
      <c r="R316" s="9" t="n">
        <v>-0.3678367782143104</v>
      </c>
      <c r="S316" s="9" t="n">
        <v>0.1690040604770804</v>
      </c>
      <c r="T316" s="9" t="n">
        <v>33667745480.27791</v>
      </c>
      <c r="U316" s="9" t="n">
        <v>0.0641500299099588</v>
      </c>
      <c r="V316" s="9" t="n">
        <v>0.002015482714507</v>
      </c>
      <c r="W316" s="9" t="n">
        <v>-0.4472135954999578</v>
      </c>
      <c r="X316" s="9" t="n">
        <v>2.965096178982881</v>
      </c>
      <c r="Y316" s="9" t="n">
        <v>22.0088313328042</v>
      </c>
      <c r="Z316" s="9" t="n">
        <v>27.7830574785799</v>
      </c>
      <c r="AA316" s="9" t="n">
        <v>5.428534999641367</v>
      </c>
      <c r="AB316" s="9" t="n">
        <v>29.8972950474392</v>
      </c>
      <c r="AC316" s="9" t="n">
        <v>1.493967738737982</v>
      </c>
      <c r="AD316" s="9" t="n">
        <v>3451.611429398152</v>
      </c>
      <c r="AE316" s="9" t="n">
        <v>3451.611429398152</v>
      </c>
      <c r="AF316" s="9" t="n">
        <v>20088.6759837963</v>
      </c>
      <c r="AG316" s="9" t="n">
        <v>20088.6759837963</v>
      </c>
      <c r="AH316" s="8" t="inlineStr">
        <is>
          <t>Moderate (5.0-5.9)</t>
        </is>
      </c>
    </row>
    <row r="317">
      <c r="A317" s="8" t="inlineStr">
        <is>
          <t>2007-11-17 15:02:34.030</t>
        </is>
      </c>
      <c r="B317" s="8" t="n">
        <v>2007</v>
      </c>
      <c r="C317" s="9" t="n">
        <v>5.7</v>
      </c>
      <c r="D317" s="9" t="n">
        <v>126.828</v>
      </c>
      <c r="E317" s="8" t="n">
        <v>52</v>
      </c>
      <c r="F317" s="9" t="n">
        <v>5.4</v>
      </c>
      <c r="G317" s="9" t="n">
        <v>3</v>
      </c>
      <c r="H317" s="9" t="n">
        <v>4.9</v>
      </c>
      <c r="I317" s="9" t="n">
        <v>4.466666666666667</v>
      </c>
      <c r="J317" s="9" t="n">
        <v>0.619110832143756</v>
      </c>
      <c r="K317" s="9" t="n">
        <v>2.939355549281524</v>
      </c>
      <c r="L317" s="9" t="n">
        <v>0.205703379396384</v>
      </c>
      <c r="M317" s="9" t="n">
        <v>0.0850427446474103</v>
      </c>
      <c r="N317" s="9" t="n">
        <v>1.042306756567804</v>
      </c>
      <c r="O317" s="9" t="n">
        <v>4.750578956647657</v>
      </c>
      <c r="P317" s="9" t="n">
        <v>0.5830364778023007</v>
      </c>
      <c r="Q317" s="9" t="n">
        <v>0.1680889961052082</v>
      </c>
      <c r="R317" s="9" t="n">
        <v>0.1522950711367734</v>
      </c>
      <c r="S317" s="9" t="n">
        <v>0.3422448797216217</v>
      </c>
      <c r="T317" s="9" t="n">
        <v>27710253595.15968</v>
      </c>
      <c r="U317" s="9" t="n">
        <v>0.0138888888888889</v>
      </c>
      <c r="V317" s="9" t="n">
        <v>0.0007465858083765999</v>
      </c>
      <c r="W317" s="9" t="n">
        <v>-1.441153384245784</v>
      </c>
      <c r="X317" s="9" t="n">
        <v>1.82516716386822</v>
      </c>
      <c r="Y317" s="9" t="n">
        <v>33.1559177465433</v>
      </c>
      <c r="Z317" s="9" t="n">
        <v>63.77027728516987</v>
      </c>
      <c r="AA317" s="9" t="n">
        <v>27.75111524759534</v>
      </c>
      <c r="AB317" s="9" t="n">
        <v>41.31362802783854</v>
      </c>
      <c r="AC317" s="9" t="n">
        <v>93.81301762021791</v>
      </c>
      <c r="AD317" s="9" t="n">
        <v>89.05294942130422</v>
      </c>
      <c r="AE317" s="9" t="n">
        <v>89.05294942130422</v>
      </c>
      <c r="AF317" s="9" t="n">
        <v>3363.26736377315</v>
      </c>
      <c r="AG317" s="9" t="n">
        <v>18316.2788082176</v>
      </c>
      <c r="AH317" s="8" t="inlineStr">
        <is>
          <t>Moderate (5.0-5.9)</t>
        </is>
      </c>
    </row>
    <row r="318">
      <c r="A318" s="8" t="inlineStr">
        <is>
          <t>2007-12-09 05:22:08.240</t>
        </is>
      </c>
      <c r="B318" s="8" t="n">
        <v>2007</v>
      </c>
      <c r="C318" s="9" t="n">
        <v>12.47</v>
      </c>
      <c r="D318" s="9" t="n">
        <v>125.61</v>
      </c>
      <c r="E318" s="8" t="n">
        <v>23</v>
      </c>
      <c r="F318" s="9" t="n">
        <v>5.4</v>
      </c>
      <c r="G318" s="9" t="n">
        <v>4</v>
      </c>
      <c r="H318" s="9" t="n">
        <v>5.4</v>
      </c>
      <c r="I318" s="9" t="n">
        <v>4.475</v>
      </c>
      <c r="J318" s="9" t="n">
        <v>0.3043380175943546</v>
      </c>
      <c r="K318" s="9" t="n">
        <v>1.531614153762893</v>
      </c>
      <c r="L318" s="9" t="n">
        <v>0.066447412258108</v>
      </c>
      <c r="M318" s="9" t="n">
        <v>0.1328491063699934</v>
      </c>
      <c r="N318" s="9" t="n">
        <v>1.021869369184122</v>
      </c>
      <c r="O318" s="9" t="n">
        <v>4.791724404982864</v>
      </c>
      <c r="P318" s="9" t="n">
        <v>0.7491286730774125</v>
      </c>
      <c r="Q318" s="9" t="n">
        <v>0.3503568453052927</v>
      </c>
      <c r="R318" s="9" t="n">
        <v>0.3673913043478283</v>
      </c>
      <c r="S318" s="9" t="n">
        <v>0.7108248965240476</v>
      </c>
      <c r="T318" s="9" t="n">
        <v>73150566288.06015</v>
      </c>
      <c r="U318" s="9" t="n">
        <v>0.1221760126142442</v>
      </c>
      <c r="V318" s="9" t="n">
        <v>0.0008597890156869</v>
      </c>
      <c r="W318" s="9" t="n">
        <v>-0.8660254037844386</v>
      </c>
      <c r="X318" s="9" t="n">
        <v>3.907598644188526</v>
      </c>
      <c r="Y318" s="9" t="n">
        <v>16.4907712806621</v>
      </c>
      <c r="Z318" s="9" t="n">
        <v>34.45013803867995</v>
      </c>
      <c r="AA318" s="9" t="n">
        <v>12.9639796817416</v>
      </c>
      <c r="AB318" s="9" t="n">
        <v>35.6731938080738</v>
      </c>
      <c r="AC318" s="9" t="n">
        <v>-3.142132574091577</v>
      </c>
      <c r="AD318" s="9" t="n">
        <v>1481.505384143515</v>
      </c>
      <c r="AE318" s="9" t="n">
        <v>1481.505384143515</v>
      </c>
      <c r="AF318" s="9" t="n">
        <v>4197.457784027778</v>
      </c>
      <c r="AG318" s="9" t="n">
        <v>43535.17270833333</v>
      </c>
      <c r="AH318" s="8" t="inlineStr">
        <is>
          <t>Moderate (5.0-5.9)</t>
        </is>
      </c>
    </row>
    <row r="319">
      <c r="A319" s="8" t="inlineStr">
        <is>
          <t>2007-12-12 19:58:39.920</t>
        </is>
      </c>
      <c r="B319" s="8" t="n">
        <v>2007</v>
      </c>
      <c r="C319" s="9" t="n">
        <v>12.655</v>
      </c>
      <c r="D319" s="9" t="n">
        <v>125.75</v>
      </c>
      <c r="E319" s="8" t="n">
        <v>30</v>
      </c>
      <c r="F319" s="9" t="n">
        <v>5</v>
      </c>
      <c r="G319" s="9" t="n">
        <v>9</v>
      </c>
      <c r="H319" s="9" t="n">
        <v>5.4</v>
      </c>
      <c r="I319" s="9" t="n">
        <v>4.577777777777778</v>
      </c>
      <c r="J319" s="9" t="n">
        <v>0.4587595775870203</v>
      </c>
      <c r="K319" s="9" t="n">
        <v>2.657183219271672</v>
      </c>
      <c r="L319" s="9" t="n">
        <v>0.08139043246775531</v>
      </c>
      <c r="M319" s="9" t="n">
        <v>0.1076836336330959</v>
      </c>
      <c r="N319" s="9" t="n">
        <v>0.7896263307331853</v>
      </c>
      <c r="O319" s="9" t="n">
        <v>4.17354447253634</v>
      </c>
      <c r="P319" s="9" t="n">
        <v>0.2411272601122377</v>
      </c>
      <c r="Q319" s="9" t="n">
        <v>0.1651672122965166</v>
      </c>
      <c r="R319" s="9" t="n">
        <v>-0.392104076056353</v>
      </c>
      <c r="S319" s="9" t="n">
        <v>0.1145322919245703</v>
      </c>
      <c r="T319" s="9" t="n">
        <v>105557436692.1188</v>
      </c>
      <c r="U319" s="9" t="n">
        <v>0.0420456690185059</v>
      </c>
      <c r="V319" s="9" t="n">
        <v>0.0042768203492089</v>
      </c>
      <c r="W319" s="9" t="n">
        <v>-1.53979470772421</v>
      </c>
      <c r="X319" s="9" t="n">
        <v>8.171980222811969</v>
      </c>
      <c r="Y319" s="9" t="n">
        <v>13.2496011571387</v>
      </c>
      <c r="Z319" s="9" t="n">
        <v>27.03928772354318</v>
      </c>
      <c r="AA319" s="9" t="n">
        <v>11.29142593976145</v>
      </c>
      <c r="AB319" s="9" t="n">
        <v>30.89538881549262</v>
      </c>
      <c r="AC319" s="9" t="n">
        <v>-3.198356922999708</v>
      </c>
      <c r="AD319" s="9" t="n">
        <v>1485.114084143519</v>
      </c>
      <c r="AE319" s="9" t="n">
        <v>1485.114084143519</v>
      </c>
      <c r="AF319" s="9" t="n">
        <v>4201.066484027782</v>
      </c>
      <c r="AG319" s="9" t="n">
        <v>43535.17270833333</v>
      </c>
      <c r="AH319" s="8" t="inlineStr">
        <is>
          <t>Moderate (5.0-5.9)</t>
        </is>
      </c>
    </row>
    <row r="320">
      <c r="A320" s="8" t="inlineStr">
        <is>
          <t>2008-03-21 17:05:28.310</t>
        </is>
      </c>
      <c r="B320" s="8" t="n">
        <v>2008</v>
      </c>
      <c r="C320" s="9" t="n">
        <v>13.181</v>
      </c>
      <c r="D320" s="9" t="n">
        <v>125.703</v>
      </c>
      <c r="E320" s="8" t="n">
        <v>36</v>
      </c>
      <c r="F320" s="9" t="n">
        <v>5.3</v>
      </c>
      <c r="G320" s="9" t="n">
        <v>6</v>
      </c>
      <c r="H320" s="9" t="n">
        <v>5.1</v>
      </c>
      <c r="I320" s="9" t="n">
        <v>4.633333333333333</v>
      </c>
      <c r="J320" s="9" t="n">
        <v/>
      </c>
      <c r="K320" s="9" t="n">
        <v/>
      </c>
      <c r="L320" s="9" t="n">
        <v/>
      </c>
      <c r="M320" s="9" t="n">
        <v/>
      </c>
      <c r="N320" s="9" t="n">
        <v/>
      </c>
      <c r="O320" s="9" t="n">
        <v/>
      </c>
      <c r="P320" s="9" t="n">
        <v/>
      </c>
      <c r="Q320" s="9" t="n">
        <v/>
      </c>
      <c r="R320" s="9" t="n">
        <v/>
      </c>
      <c r="S320" s="9" t="n">
        <v/>
      </c>
      <c r="T320" s="9" t="n">
        <v>58607363041.77943</v>
      </c>
      <c r="U320" s="9" t="n">
        <v/>
      </c>
      <c r="V320" s="9" t="n">
        <v/>
      </c>
      <c r="W320" s="9" t="n">
        <v>-2.449489742783178</v>
      </c>
      <c r="X320" s="9" t="n">
        <v>4.392943174621057</v>
      </c>
      <c r="Y320" s="9" t="n">
        <v>8.136613659455399</v>
      </c>
      <c r="Z320" s="9" t="n">
        <v>21.81811631643662</v>
      </c>
      <c r="AA320" s="9" t="n">
        <v>17.83042350465525</v>
      </c>
      <c r="AB320" s="9" t="n">
        <v>31.49092708862156</v>
      </c>
      <c r="AC320" s="9" t="n">
        <v>-2.439725409690594</v>
      </c>
      <c r="AD320" s="9" t="n">
        <v>18.12096921296325</v>
      </c>
      <c r="AE320" s="9" t="n">
        <v>18.12096921296325</v>
      </c>
      <c r="AF320" s="9" t="n">
        <v>4300.94621076389</v>
      </c>
      <c r="AG320" s="9" t="n">
        <v>43535.17270833333</v>
      </c>
      <c r="AH320" s="8" t="inlineStr">
        <is>
          <t>Moderate (5.0-5.9)</t>
        </is>
      </c>
    </row>
    <row r="321">
      <c r="A321" s="8" t="inlineStr">
        <is>
          <t>2008-03-21 17:40:28.570</t>
        </is>
      </c>
      <c r="B321" s="8" t="n">
        <v>2008</v>
      </c>
      <c r="C321" s="9" t="n">
        <v>13.136</v>
      </c>
      <c r="D321" s="9" t="n">
        <v>125.848</v>
      </c>
      <c r="E321" s="8" t="n">
        <v>36</v>
      </c>
      <c r="F321" s="9" t="n">
        <v>5.1</v>
      </c>
      <c r="G321" s="9" t="n">
        <v>7</v>
      </c>
      <c r="H321" s="9" t="n">
        <v>5.3</v>
      </c>
      <c r="I321" s="9" t="n">
        <v>4.628571428571428</v>
      </c>
      <c r="J321" s="9" t="n">
        <v>0.6900367438544439</v>
      </c>
      <c r="K321" s="9" t="n">
        <v>3.675008330564408</v>
      </c>
      <c r="L321" s="9" t="n">
        <v>0.1718572619259885</v>
      </c>
      <c r="M321" s="9" t="n">
        <v>0.0822896330983294</v>
      </c>
      <c r="N321" s="9" t="n">
        <v>1.009987167216867</v>
      </c>
      <c r="O321" s="9" t="n">
        <v>5.142913540090236</v>
      </c>
      <c r="P321" s="9" t="n">
        <v>0.3681757374286216</v>
      </c>
      <c r="Q321" s="9" t="n">
        <v>0.141199723263451</v>
      </c>
      <c r="R321" s="9" t="n">
        <v>-0.0258154196780173</v>
      </c>
      <c r="S321" s="9" t="n">
        <v>0.2079416976533386</v>
      </c>
      <c r="T321" s="9" t="n">
        <v>73971661032.52173</v>
      </c>
      <c r="U321" s="9" t="n">
        <v>0.0085092203184123</v>
      </c>
      <c r="V321" s="9" t="n">
        <v>0.0009333370334683</v>
      </c>
      <c r="W321" s="9" t="n">
        <v>-2.401922307076307</v>
      </c>
      <c r="X321" s="9" t="n">
        <v>4.979301888161361</v>
      </c>
      <c r="Y321" s="9" t="n">
        <v>5.12734493146918</v>
      </c>
      <c r="Z321" s="9" t="n">
        <v>12.50349619681966</v>
      </c>
      <c r="AA321" s="9" t="n">
        <v>7.284288963013419</v>
      </c>
      <c r="AB321" s="9" t="n">
        <v>10.04823484413216</v>
      </c>
      <c r="AC321" s="9" t="n">
        <v>-1.69623875807335</v>
      </c>
      <c r="AD321" s="9" t="n">
        <v>18.14527777777403</v>
      </c>
      <c r="AE321" s="9" t="n">
        <v>18.14527777777403</v>
      </c>
      <c r="AF321" s="9" t="n">
        <v>4300.970519328701</v>
      </c>
      <c r="AG321" s="9" t="n">
        <v>43535.17270833333</v>
      </c>
      <c r="AH321" s="8" t="inlineStr">
        <is>
          <t>Moderate (5.0-5.9)</t>
        </is>
      </c>
    </row>
    <row r="322">
      <c r="A322" s="8" t="inlineStr">
        <is>
          <t>2008-03-29 03:01:35.270</t>
        </is>
      </c>
      <c r="B322" s="8" t="n">
        <v>2008</v>
      </c>
      <c r="C322" s="9" t="n">
        <v>13.257</v>
      </c>
      <c r="D322" s="9" t="n">
        <v>125.524</v>
      </c>
      <c r="E322" s="8" t="n">
        <v>37</v>
      </c>
      <c r="F322" s="9" t="n">
        <v>5.7</v>
      </c>
      <c r="G322" s="9" t="n">
        <v>11</v>
      </c>
      <c r="H322" s="9" t="n">
        <v>5.3</v>
      </c>
      <c r="I322" s="9" t="n">
        <v>4.681818181818183</v>
      </c>
      <c r="J322" s="9" t="n">
        <v/>
      </c>
      <c r="K322" s="9" t="n">
        <v/>
      </c>
      <c r="L322" s="9" t="n">
        <v/>
      </c>
      <c r="M322" s="9" t="n">
        <v/>
      </c>
      <c r="N322" s="9" t="n">
        <v/>
      </c>
      <c r="O322" s="9" t="n">
        <v/>
      </c>
      <c r="P322" s="9" t="n">
        <v/>
      </c>
      <c r="Q322" s="9" t="n">
        <v/>
      </c>
      <c r="R322" s="9" t="n">
        <v/>
      </c>
      <c r="S322" s="9" t="n">
        <v/>
      </c>
      <c r="T322" s="9" t="n">
        <v>94388440451.15842</v>
      </c>
      <c r="U322" s="9" t="n">
        <v/>
      </c>
      <c r="V322" s="9" t="n">
        <v/>
      </c>
      <c r="W322" s="9" t="n">
        <v>1.305582419667734</v>
      </c>
      <c r="X322" s="9" t="n">
        <v>8.499776830880773</v>
      </c>
      <c r="Y322" s="9" t="n">
        <v>5.12734493146918</v>
      </c>
      <c r="Z322" s="9" t="n">
        <v>20.09025562044521</v>
      </c>
      <c r="AA322" s="9" t="n">
        <v>16.97160972681118</v>
      </c>
      <c r="AB322" s="9" t="n">
        <v>20.96904938740878</v>
      </c>
      <c r="AC322" s="9" t="n">
        <v>0.2747030766144745</v>
      </c>
      <c r="AD322" s="9" t="n">
        <v>25.53493865740893</v>
      </c>
      <c r="AE322" s="9" t="n">
        <v>25.53493865740893</v>
      </c>
      <c r="AF322" s="9" t="n">
        <v>4308.360180208336</v>
      </c>
      <c r="AG322" s="9" t="n">
        <v>43535.17270833333</v>
      </c>
      <c r="AH322" s="8" t="inlineStr">
        <is>
          <t>Moderate (5.0-5.9)</t>
        </is>
      </c>
    </row>
  </sheetData>
  <autoFilter ref="A1:AH3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2" customWidth="1" min="13" max="13"/>
    <col width="10" customWidth="1" min="14" max="14"/>
    <col width="10" customWidth="1" min="15" max="15"/>
    <col width="11" customWidth="1" min="16" max="16"/>
    <col width="12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1" customWidth="1" min="26" max="26"/>
    <col width="10" customWidth="1" min="27" max="27"/>
    <col width="12" customWidth="1" min="28" max="28"/>
    <col width="12" customWidth="1" min="29" max="29"/>
    <col width="10" customWidth="1" min="30" max="30"/>
    <col width="11" customWidth="1" min="31" max="31"/>
    <col width="10" customWidth="1" min="32" max="32"/>
    <col width="11" customWidth="1" min="33" max="33"/>
    <col width="13" customWidth="1" min="34" max="34"/>
  </cols>
  <sheetData>
    <row r="1">
      <c r="A1" s="7" t="inlineStr">
        <is>
          <t>MainshockTime</t>
        </is>
      </c>
      <c r="B1" s="7" t="inlineStr">
        <is>
          <t>MainshockYear</t>
        </is>
      </c>
      <c r="C1" s="7" t="inlineStr">
        <is>
          <t>MainshockLat</t>
        </is>
      </c>
      <c r="D1" s="7" t="inlineStr">
        <is>
          <t>MainshockLon</t>
        </is>
      </c>
      <c r="E1" s="7" t="inlineStr">
        <is>
          <t>MainshockDepth</t>
        </is>
      </c>
      <c r="F1" s="7" t="inlineStr">
        <is>
          <t>Target</t>
        </is>
      </c>
      <c r="G1" s="7" t="inlineStr">
        <is>
          <t>NO</t>
        </is>
      </c>
      <c r="H1" s="7" t="inlineStr">
        <is>
          <t>Mag_max</t>
        </is>
      </c>
      <c r="I1" s="7" t="inlineStr">
        <is>
          <t>Mag_mean</t>
        </is>
      </c>
      <c r="J1" s="7" t="inlineStr">
        <is>
          <t>b_lsq</t>
        </is>
      </c>
      <c r="K1" s="7" t="inlineStr">
        <is>
          <t>a_lsq</t>
        </is>
      </c>
      <c r="L1" s="7" t="inlineStr">
        <is>
          <t>b_std_lsq</t>
        </is>
      </c>
      <c r="M1" s="7" t="inlineStr">
        <is>
          <t>std_gr_lsq</t>
        </is>
      </c>
      <c r="N1" s="7" t="inlineStr">
        <is>
          <t>b_mlk</t>
        </is>
      </c>
      <c r="O1" s="7" t="inlineStr">
        <is>
          <t>a_mlk</t>
        </is>
      </c>
      <c r="P1" s="7" t="inlineStr">
        <is>
          <t>b_std_mlk</t>
        </is>
      </c>
      <c r="Q1" s="7" t="inlineStr">
        <is>
          <t>std_gr_mlk</t>
        </is>
      </c>
      <c r="R1" s="7" t="inlineStr">
        <is>
          <t>dM_lsq</t>
        </is>
      </c>
      <c r="S1" s="7" t="inlineStr">
        <is>
          <t>dM_mlk</t>
        </is>
      </c>
      <c r="T1" s="7" t="inlineStr">
        <is>
          <t>Energy</t>
        </is>
      </c>
      <c r="U1" s="7" t="inlineStr">
        <is>
          <t>x7_lsq</t>
        </is>
      </c>
      <c r="V1" s="7" t="inlineStr">
        <is>
          <t>x7_mlk</t>
        </is>
      </c>
      <c r="W1" s="7" t="inlineStr">
        <is>
          <t>zvalue</t>
        </is>
      </c>
      <c r="X1" s="7" t="inlineStr">
        <is>
          <t>beta</t>
        </is>
      </c>
      <c r="Y1" s="7" t="inlineStr">
        <is>
          <t>Dist_min</t>
        </is>
      </c>
      <c r="Z1" s="7" t="inlineStr">
        <is>
          <t>Dist_mean</t>
        </is>
      </c>
      <c r="AA1" s="7" t="inlineStr">
        <is>
          <t>Dist_std</t>
        </is>
      </c>
      <c r="AB1" s="7" t="inlineStr">
        <is>
          <t>Dist_wmean</t>
        </is>
      </c>
      <c r="AC1" s="7" t="inlineStr">
        <is>
          <t>Dist_trend</t>
        </is>
      </c>
      <c r="AD1" s="7" t="inlineStr">
        <is>
          <t>T_elaps6</t>
        </is>
      </c>
      <c r="AE1" s="7" t="inlineStr">
        <is>
          <t>T_elaps65</t>
        </is>
      </c>
      <c r="AF1" s="7" t="inlineStr">
        <is>
          <t>T_elaps7</t>
        </is>
      </c>
      <c r="AG1" s="7" t="inlineStr">
        <is>
          <t>T_elaps75</t>
        </is>
      </c>
      <c r="AH1" s="7" t="inlineStr">
        <is>
          <t>TargetClass</t>
        </is>
      </c>
    </row>
    <row r="2">
      <c r="A2" s="8" t="inlineStr">
        <is>
          <t>2008-04-01 01:31:33.660</t>
        </is>
      </c>
      <c r="B2" s="8" t="n">
        <v>2008</v>
      </c>
      <c r="C2" s="9" t="n">
        <v>19.987</v>
      </c>
      <c r="D2" s="9" t="n">
        <v>122.128</v>
      </c>
      <c r="E2" s="8" t="n">
        <v>27</v>
      </c>
      <c r="F2" s="9" t="n">
        <v>5.1</v>
      </c>
      <c r="G2" s="9" t="n">
        <v>7</v>
      </c>
      <c r="H2" s="9" t="n">
        <v>5.4</v>
      </c>
      <c r="I2" s="9" t="n">
        <v>4.600000000000001</v>
      </c>
      <c r="J2" s="9" t="n">
        <v>0.164198179453081</v>
      </c>
      <c r="K2" s="9" t="n">
        <v>1.083707984390334</v>
      </c>
      <c r="L2" s="9" t="n">
        <v>0.0120273073559165</v>
      </c>
      <c r="M2" s="9" t="n">
        <v>0.08118175266958649</v>
      </c>
      <c r="N2" s="9" t="n">
        <v>0.4825494243369467</v>
      </c>
      <c r="O2" s="9" t="n">
        <v>2.472502405180242</v>
      </c>
      <c r="P2" s="9" t="n">
        <v>0.103876028776771</v>
      </c>
      <c r="Q2" s="9" t="n">
        <v>0.2669053171320608</v>
      </c>
      <c r="R2" s="9" t="n">
        <v>-1.199999999999997</v>
      </c>
      <c r="S2" s="9" t="n">
        <v>0.2761675374960495</v>
      </c>
      <c r="T2" s="9" t="n">
        <v>94816736623.6144</v>
      </c>
      <c r="U2" s="9" t="n">
        <v>0.321666224502357</v>
      </c>
      <c r="V2" s="9" t="n">
        <v>0.0356739933472523</v>
      </c>
      <c r="W2" s="9" t="n">
        <v>-1.870828693386971</v>
      </c>
      <c r="X2" s="9" t="n">
        <v>8.637332561050339</v>
      </c>
      <c r="Y2" s="9" t="n">
        <v>14.9631161661434</v>
      </c>
      <c r="Z2" s="9" t="n">
        <v>48.30310409497678</v>
      </c>
      <c r="AA2" s="9" t="n">
        <v>27.57627662354956</v>
      </c>
      <c r="AB2" s="9" t="n">
        <v>46.11892780782057</v>
      </c>
      <c r="AC2" s="9" t="n">
        <v>-1.157162905324197</v>
      </c>
      <c r="AD2" s="9" t="n">
        <v>2815.923503009268</v>
      </c>
      <c r="AE2" s="9" t="n">
        <v>28225.44455625</v>
      </c>
      <c r="AF2" s="9" t="n">
        <v>43535.17270833333</v>
      </c>
      <c r="AG2" s="9" t="n">
        <v>43535.17270833333</v>
      </c>
      <c r="AH2" s="8" t="inlineStr">
        <is>
          <t>Moderate (5.0-5.9)</t>
        </is>
      </c>
    </row>
    <row r="3">
      <c r="A3" s="8" t="inlineStr">
        <is>
          <t>2008-04-01 13:09:18.850</t>
        </is>
      </c>
      <c r="B3" s="8" t="n">
        <v>2008</v>
      </c>
      <c r="C3" s="9" t="n">
        <v>20.231</v>
      </c>
      <c r="D3" s="9" t="n">
        <v>122.024</v>
      </c>
      <c r="E3" s="8" t="n">
        <v>2</v>
      </c>
      <c r="F3" s="9" t="n">
        <v>5.5</v>
      </c>
      <c r="G3" s="9" t="n">
        <v>10</v>
      </c>
      <c r="H3" s="9" t="n">
        <v>5.4</v>
      </c>
      <c r="I3" s="9" t="n">
        <v>4.67</v>
      </c>
      <c r="J3" s="9" t="n">
        <v>0.6640167447195914</v>
      </c>
      <c r="K3" s="9" t="n">
        <v>3.750431261043469</v>
      </c>
      <c r="L3" s="9" t="n">
        <v>0.1442512604608065</v>
      </c>
      <c r="M3" s="9" t="n">
        <v>0.0772544781073316</v>
      </c>
      <c r="N3" s="9" t="n">
        <v>0.7360923422089015</v>
      </c>
      <c r="O3" s="9" t="n">
        <v>4.011385544276076</v>
      </c>
      <c r="P3" s="9" t="n">
        <v>0.1772662892048001</v>
      </c>
      <c r="Q3" s="9" t="n">
        <v>0.1242723377845434</v>
      </c>
      <c r="R3" s="9" t="n">
        <v>-0.2480974175240771</v>
      </c>
      <c r="S3" s="9" t="n">
        <v>-0.0495683683361187</v>
      </c>
      <c r="T3" s="9" t="n">
        <v>105502780515.1338</v>
      </c>
      <c r="U3" s="9" t="n">
        <v>0.0101847357600608</v>
      </c>
      <c r="V3" s="9" t="n">
        <v>0.0061904607362076</v>
      </c>
      <c r="W3" s="9" t="n">
        <v>-2.705008904002297</v>
      </c>
      <c r="X3" s="9" t="n">
        <v>11.42535086671439</v>
      </c>
      <c r="Y3" s="9" t="n">
        <v>12.7124094836441</v>
      </c>
      <c r="Z3" s="9" t="n">
        <v>40.90260706819612</v>
      </c>
      <c r="AA3" s="9" t="n">
        <v>26.03203893989471</v>
      </c>
      <c r="AB3" s="9" t="n">
        <v>40.55208440027506</v>
      </c>
      <c r="AC3" s="9" t="n">
        <v>-9.02988471071232</v>
      </c>
      <c r="AD3" s="9" t="n">
        <v>2816.408053819446</v>
      </c>
      <c r="AE3" s="9" t="n">
        <v>28225.92910706018</v>
      </c>
      <c r="AF3" s="9" t="n">
        <v>43535.17270833333</v>
      </c>
      <c r="AG3" s="9" t="n">
        <v>43535.17270833333</v>
      </c>
      <c r="AH3" s="8" t="inlineStr">
        <is>
          <t>Moderate (5.0-5.9)</t>
        </is>
      </c>
    </row>
    <row r="4">
      <c r="A4" s="8" t="inlineStr">
        <is>
          <t>2008-04-01 23:09:00.180</t>
        </is>
      </c>
      <c r="B4" s="8" t="n">
        <v>2008</v>
      </c>
      <c r="C4" s="9" t="n">
        <v>13.7</v>
      </c>
      <c r="D4" s="9" t="n">
        <v>125.626</v>
      </c>
      <c r="E4" s="8" t="n">
        <v>8</v>
      </c>
      <c r="F4" s="9" t="n">
        <v>5</v>
      </c>
      <c r="G4" s="9" t="n">
        <v>10</v>
      </c>
      <c r="H4" s="9" t="n">
        <v>5.7</v>
      </c>
      <c r="I4" s="9" t="n">
        <v>4.720000000000001</v>
      </c>
      <c r="J4" s="9" t="n">
        <v>0.724093870292066</v>
      </c>
      <c r="K4" s="9" t="n">
        <v>4.057062217749889</v>
      </c>
      <c r="L4" s="9" t="n">
        <v>0.1926115229890623</v>
      </c>
      <c r="M4" s="9" t="n">
        <v>0.0819630979142754</v>
      </c>
      <c r="N4" s="9" t="n">
        <v>0.9650988486738944</v>
      </c>
      <c r="O4" s="9" t="n">
        <v>5.234934593103323</v>
      </c>
      <c r="P4" s="9" t="n">
        <v>0.3421654212265856</v>
      </c>
      <c r="Q4" s="9" t="n">
        <v>0.1739959671247175</v>
      </c>
      <c r="R4" s="9" t="n">
        <v>0.097049354783989</v>
      </c>
      <c r="S4" s="9" t="n">
        <v>0.275752939404656</v>
      </c>
      <c r="T4" s="9" t="n">
        <v>155402709866.4078</v>
      </c>
      <c r="U4" s="9" t="n">
        <v>0.0067254041745952</v>
      </c>
      <c r="V4" s="9" t="n">
        <v>0.0012726338013397</v>
      </c>
      <c r="W4" s="9" t="n">
        <v>0.4850712500726659</v>
      </c>
      <c r="X4" s="9" t="n">
        <v>9.650044302490103</v>
      </c>
      <c r="Y4" s="9" t="n">
        <v>5.12734493146918</v>
      </c>
      <c r="Z4" s="9" t="n">
        <v>21.06576215359855</v>
      </c>
      <c r="AA4" s="9" t="n">
        <v>16.40773525547782</v>
      </c>
      <c r="AB4" s="9" t="n">
        <v>14.67465341715096</v>
      </c>
      <c r="AC4" s="9" t="n">
        <v>2.59733840489871</v>
      </c>
      <c r="AD4" s="9" t="n">
        <v>29.37342141204136</v>
      </c>
      <c r="AE4" s="9" t="n">
        <v>29.37342141204136</v>
      </c>
      <c r="AF4" s="9" t="n">
        <v>43535.17270833333</v>
      </c>
      <c r="AG4" s="9" t="n">
        <v>43535.17270833333</v>
      </c>
      <c r="AH4" s="8" t="inlineStr">
        <is>
          <t>Moderate (5.0-5.9)</t>
        </is>
      </c>
    </row>
    <row r="5">
      <c r="A5" s="8" t="inlineStr">
        <is>
          <t>2008-04-02 23:47:07.090</t>
        </is>
      </c>
      <c r="B5" s="8" t="n">
        <v>2008</v>
      </c>
      <c r="C5" s="9" t="n">
        <v>19.959</v>
      </c>
      <c r="D5" s="9" t="n">
        <v>121.209</v>
      </c>
      <c r="E5" s="8" t="n">
        <v>9</v>
      </c>
      <c r="F5" s="9" t="n">
        <v>5.2</v>
      </c>
      <c r="G5" s="9" t="n">
        <v>6</v>
      </c>
      <c r="H5" s="9" t="n">
        <v>5.5</v>
      </c>
      <c r="I5" s="9" t="n">
        <v>4.716666666666667</v>
      </c>
      <c r="J5" s="9" t="n">
        <v>0.6072452332795714</v>
      </c>
      <c r="K5" s="9" t="n">
        <v>3.291823894204273</v>
      </c>
      <c r="L5" s="9" t="n">
        <v>0.1757557568650243</v>
      </c>
      <c r="M5" s="9" t="n">
        <v>0.0762773281891512</v>
      </c>
      <c r="N5" s="9" t="n">
        <v>0.6355529003462228</v>
      </c>
      <c r="O5" s="9" t="n">
        <v>3.337109306277665</v>
      </c>
      <c r="P5" s="9" t="n">
        <v>0.192523939745828</v>
      </c>
      <c r="Q5" s="9" t="n">
        <v>0.1263213606982671</v>
      </c>
      <c r="R5" s="9" t="n">
        <v>0.0790864813775478</v>
      </c>
      <c r="S5" s="9" t="n">
        <v>0.2492816027434585</v>
      </c>
      <c r="T5" s="9" t="n">
        <v>100290685958.7492</v>
      </c>
      <c r="U5" s="9" t="n">
        <v>0.0150752422654154</v>
      </c>
      <c r="V5" s="9" t="n">
        <v>0.0123977050211605</v>
      </c>
      <c r="W5" s="9" t="n">
        <v>-1.866513050514766</v>
      </c>
      <c r="X5" s="9" t="n">
        <v>6.753637971265559</v>
      </c>
      <c r="Y5" s="9" t="n">
        <v>12.7124094836441</v>
      </c>
      <c r="Z5" s="9" t="n">
        <v>28.36190602712729</v>
      </c>
      <c r="AA5" s="9" t="n">
        <v>13.42995617078308</v>
      </c>
      <c r="AB5" s="9" t="n">
        <v>35.51562927463488</v>
      </c>
      <c r="AC5" s="9" t="n">
        <v>-1.624714012197627</v>
      </c>
      <c r="AD5" s="9" t="n">
        <v>16372.76964224536</v>
      </c>
      <c r="AE5" s="9" t="n">
        <v>19728.82357743055</v>
      </c>
      <c r="AF5" s="9" t="n">
        <v>43535.17270833333</v>
      </c>
      <c r="AG5" s="9" t="n">
        <v>43535.17270833333</v>
      </c>
      <c r="AH5" s="8" t="inlineStr">
        <is>
          <t>Moderate (5.0-5.9)</t>
        </is>
      </c>
    </row>
    <row r="6">
      <c r="A6" s="8" t="inlineStr">
        <is>
          <t>2008-04-06 21:17:49.090</t>
        </is>
      </c>
      <c r="B6" s="8" t="n">
        <v>2008</v>
      </c>
      <c r="C6" s="9" t="n">
        <v>20.045</v>
      </c>
      <c r="D6" s="9" t="n">
        <v>122.086</v>
      </c>
      <c r="E6" s="8" t="n">
        <v>1</v>
      </c>
      <c r="F6" s="9" t="n">
        <v>5.1</v>
      </c>
      <c r="G6" s="9" t="n">
        <v>13</v>
      </c>
      <c r="H6" s="9" t="n">
        <v>5.5</v>
      </c>
      <c r="I6" s="9" t="n">
        <v>4.746153846153846</v>
      </c>
      <c r="J6" s="9" t="n">
        <v>0.6960940802341551</v>
      </c>
      <c r="K6" s="9" t="n">
        <v>4.091708568035817</v>
      </c>
      <c r="L6" s="9" t="n">
        <v>0.1506952642083225</v>
      </c>
      <c r="M6" s="9" t="n">
        <v>0.119625493565343</v>
      </c>
      <c r="N6" s="9" t="n">
        <v>0.6400129206995296</v>
      </c>
      <c r="O6" s="9" t="n">
        <v>3.72515618316214</v>
      </c>
      <c r="P6" s="9" t="n">
        <v>0.1273917215996417</v>
      </c>
      <c r="Q6" s="9" t="n">
        <v>0.1408854467333793</v>
      </c>
      <c r="R6" s="9" t="n">
        <v>-0.3780970621951427</v>
      </c>
      <c r="S6" s="9" t="n">
        <v>-0.3204390297161046</v>
      </c>
      <c r="T6" s="9" t="n">
        <v>146355528709.444</v>
      </c>
      <c r="U6" s="9" t="n">
        <v>0.008160518605698599</v>
      </c>
      <c r="V6" s="9" t="n">
        <v>0.0120215713366183</v>
      </c>
      <c r="W6" s="9" t="n">
        <v>0.1615145706174497</v>
      </c>
      <c r="X6" s="9" t="n">
        <v>13.855760595239</v>
      </c>
      <c r="Y6" s="9" t="n">
        <v>12.7124094836441</v>
      </c>
      <c r="Z6" s="9" t="n">
        <v>37.26532770743688</v>
      </c>
      <c r="AA6" s="9" t="n">
        <v>24.23516532406797</v>
      </c>
      <c r="AB6" s="9" t="n">
        <v>37.76093974010858</v>
      </c>
      <c r="AC6" s="9" t="n">
        <v>-7.206502619023715</v>
      </c>
      <c r="AD6" s="9" t="n">
        <v>2821.747292708329</v>
      </c>
      <c r="AE6" s="9" t="n">
        <v>28231.26834594907</v>
      </c>
      <c r="AF6" s="9" t="n">
        <v>43535.17270833333</v>
      </c>
      <c r="AG6" s="9" t="n">
        <v>43535.17270833333</v>
      </c>
      <c r="AH6" s="8" t="inlineStr">
        <is>
          <t>Moderate (5.0-5.9)</t>
        </is>
      </c>
    </row>
    <row r="7">
      <c r="A7" s="8" t="inlineStr">
        <is>
          <t>2008-04-20 05:25:43.960</t>
        </is>
      </c>
      <c r="B7" s="8" t="n">
        <v>2008</v>
      </c>
      <c r="C7" s="9" t="n">
        <v>12.711</v>
      </c>
      <c r="D7" s="9" t="n">
        <v>124.784</v>
      </c>
      <c r="E7" s="8" t="n">
        <v>49</v>
      </c>
      <c r="F7" s="9" t="n">
        <v>5.4</v>
      </c>
      <c r="G7" s="9" t="n">
        <v>3</v>
      </c>
      <c r="H7" s="9" t="n">
        <v>4.9</v>
      </c>
      <c r="I7" s="9" t="n">
        <v>4.6</v>
      </c>
      <c r="J7" s="9" t="n">
        <v>0.8337334825539037</v>
      </c>
      <c r="K7" s="9" t="n">
        <v>4.032347054278186</v>
      </c>
      <c r="L7" s="9" t="n">
        <v>0.2769127479729749</v>
      </c>
      <c r="M7" s="9" t="n">
        <v>0.0738581999191831</v>
      </c>
      <c r="N7" s="9" t="n">
        <v>1.240841376866435</v>
      </c>
      <c r="O7" s="9" t="n">
        <v>5.812739175245333</v>
      </c>
      <c r="P7" s="9" t="n">
        <v>0.6133678341955734</v>
      </c>
      <c r="Q7" s="9" t="n">
        <v>0.1484076615652262</v>
      </c>
      <c r="R7" s="9" t="n">
        <v>0.0635059180707893</v>
      </c>
      <c r="S7" s="9" t="n">
        <v>0.2154856989661624</v>
      </c>
      <c r="T7" s="9" t="n">
        <v>30103049798.81081</v>
      </c>
      <c r="U7" s="9" t="n">
        <v>0.0031535487739366</v>
      </c>
      <c r="V7" s="9" t="n">
        <v>0.0001894418252328</v>
      </c>
      <c r="W7" s="9" t="n">
        <v>-2.121320343559642</v>
      </c>
      <c r="X7" s="9" t="n">
        <v>2.713064720295049</v>
      </c>
      <c r="Y7" s="9" t="n">
        <v>51.7194227523816</v>
      </c>
      <c r="Z7" s="9" t="n">
        <v>60.235033884687</v>
      </c>
      <c r="AA7" s="9" t="n">
        <v>14.20687939644018</v>
      </c>
      <c r="AB7" s="9" t="n">
        <v>58.11582761903176</v>
      </c>
      <c r="AC7" s="9" t="n">
        <v>5.281268969777219</v>
      </c>
      <c r="AD7" s="9" t="n">
        <v>1754.517589814815</v>
      </c>
      <c r="AE7" s="9" t="n">
        <v>4330.46028078704</v>
      </c>
      <c r="AF7" s="9" t="n">
        <v>4330.46028078704</v>
      </c>
      <c r="AG7" s="9" t="n">
        <v>43535.17270833333</v>
      </c>
      <c r="AH7" s="8" t="inlineStr">
        <is>
          <t>Moderate (5.0-5.9)</t>
        </is>
      </c>
    </row>
    <row r="8">
      <c r="A8" s="8" t="inlineStr">
        <is>
          <t>2008-07-06 12:46:56.270</t>
        </is>
      </c>
      <c r="B8" s="8" t="n">
        <v>2008</v>
      </c>
      <c r="C8" s="9" t="n">
        <v>15.405</v>
      </c>
      <c r="D8" s="9" t="n">
        <v>122.386</v>
      </c>
      <c r="E8" s="8" t="n">
        <v>15</v>
      </c>
      <c r="F8" s="9" t="n">
        <v>5.2</v>
      </c>
      <c r="G8" s="9" t="n">
        <v>4</v>
      </c>
      <c r="H8" s="9" t="n">
        <v>5.4</v>
      </c>
      <c r="I8" s="9" t="n">
        <v>4.525</v>
      </c>
      <c r="J8" s="9" t="n">
        <v>0.4347151322209948</v>
      </c>
      <c r="K8" s="9" t="n">
        <v>2.207120620622625</v>
      </c>
      <c r="L8" s="9" t="n">
        <v>0.1344073678310032</v>
      </c>
      <c r="M8" s="9" t="n">
        <v>0.1059803693202489</v>
      </c>
      <c r="N8" s="9" t="n">
        <v>0.7552947511360899</v>
      </c>
      <c r="O8" s="9" t="n">
        <v>3.623238995872322</v>
      </c>
      <c r="P8" s="9" t="n">
        <v>0.4057387560030672</v>
      </c>
      <c r="Q8" s="9" t="n">
        <v>0.2014495001750083</v>
      </c>
      <c r="R8" s="9" t="n">
        <v>0.3228346173590344</v>
      </c>
      <c r="S8" s="9" t="n">
        <v>0.6028807423560627</v>
      </c>
      <c r="T8" s="9" t="n">
        <v>73662228320.07436</v>
      </c>
      <c r="U8" s="9" t="n">
        <v>0.0496426096033191</v>
      </c>
      <c r="V8" s="9" t="n">
        <v>0.0054214536176622</v>
      </c>
      <c r="W8" s="9" t="n">
        <v>-0.9999999999999998</v>
      </c>
      <c r="X8" s="9" t="n">
        <v>6.34332552232842</v>
      </c>
      <c r="Y8" s="9" t="n">
        <v>44.4324319931206</v>
      </c>
      <c r="Z8" s="9" t="n">
        <v>48.97173703114817</v>
      </c>
      <c r="AA8" s="9" t="n">
        <v>3.148058803554321</v>
      </c>
      <c r="AB8" s="9" t="n">
        <v>49.29328604207005</v>
      </c>
      <c r="AC8" s="9" t="n">
        <v>-23.59514328828574</v>
      </c>
      <c r="AD8" s="9" t="n">
        <v>10324.00357835648</v>
      </c>
      <c r="AE8" s="9" t="n">
        <v>13965.36471840278</v>
      </c>
      <c r="AF8" s="9" t="n">
        <v>13965.36471840278</v>
      </c>
      <c r="AG8" s="9" t="n">
        <v>43535.17270833333</v>
      </c>
      <c r="AH8" s="8" t="inlineStr">
        <is>
          <t>Moderate (5.0-5.9)</t>
        </is>
      </c>
    </row>
    <row r="9">
      <c r="A9" s="8" t="inlineStr">
        <is>
          <t>2008-07-08 01:41:52.650</t>
        </is>
      </c>
      <c r="B9" s="8" t="n">
        <v>2008</v>
      </c>
      <c r="C9" s="9" t="n">
        <v>15.425</v>
      </c>
      <c r="D9" s="9" t="n">
        <v>122.407</v>
      </c>
      <c r="E9" s="8" t="n">
        <v>3</v>
      </c>
      <c r="F9" s="9" t="n">
        <v>5.4</v>
      </c>
      <c r="G9" s="9" t="n">
        <v>13</v>
      </c>
      <c r="H9" s="9" t="n">
        <v>5.4</v>
      </c>
      <c r="I9" s="9" t="n">
        <v>4.4</v>
      </c>
      <c r="J9" s="9" t="n">
        <v>0.5726360197481881</v>
      </c>
      <c r="K9" s="9" t="n">
        <v>3.122954788707891</v>
      </c>
      <c r="L9" s="9" t="n">
        <v>0.0911780469091054</v>
      </c>
      <c r="M9" s="9" t="n">
        <v>0.1166103482982495</v>
      </c>
      <c r="N9" s="9" t="n">
        <v>1.132942126704137</v>
      </c>
      <c r="O9" s="9" t="n">
        <v>5.763096607881845</v>
      </c>
      <c r="P9" s="9" t="n">
        <v>0.35690153159307</v>
      </c>
      <c r="Q9" s="9" t="n">
        <v>0.2135514639911631</v>
      </c>
      <c r="R9" s="9" t="n">
        <v>-0.0536471353673908</v>
      </c>
      <c r="S9" s="9" t="n">
        <v>0.3131588701292465</v>
      </c>
      <c r="T9" s="9" t="n">
        <v>90253410076.88022</v>
      </c>
      <c r="U9" s="9" t="n">
        <v>0.0191466121860417</v>
      </c>
      <c r="V9" s="9" t="n">
        <v>0.0003991844542591</v>
      </c>
      <c r="W9" s="9" t="n">
        <v>-1.198440913532854</v>
      </c>
      <c r="X9" s="9" t="n">
        <v>15.1071516904496</v>
      </c>
      <c r="Y9" s="9" t="n">
        <v>44.4324319931206</v>
      </c>
      <c r="Z9" s="9" t="n">
        <v>52.41758747747077</v>
      </c>
      <c r="AA9" s="9" t="n">
        <v>7.115056206955633</v>
      </c>
      <c r="AB9" s="9" t="n">
        <v>49.45206592409167</v>
      </c>
      <c r="AC9" s="9" t="n">
        <v>-1.24685518431413</v>
      </c>
      <c r="AD9" s="9" t="n">
        <v>10325.54173090278</v>
      </c>
      <c r="AE9" s="9" t="n">
        <v>13966.90287094908</v>
      </c>
      <c r="AF9" s="9" t="n">
        <v>13966.90287094908</v>
      </c>
      <c r="AG9" s="9" t="n">
        <v>43535.17270833333</v>
      </c>
      <c r="AH9" s="8" t="inlineStr">
        <is>
          <t>Moderate (5.0-5.9)</t>
        </is>
      </c>
    </row>
    <row r="10">
      <c r="A10" s="8" t="inlineStr">
        <is>
          <t>2008-08-17 20:46:46.550</t>
        </is>
      </c>
      <c r="B10" s="8" t="n">
        <v>2008</v>
      </c>
      <c r="C10" s="9" t="n">
        <v>13.081</v>
      </c>
      <c r="D10" s="9" t="n">
        <v>124.282</v>
      </c>
      <c r="E10" s="8" t="n">
        <v>13</v>
      </c>
      <c r="F10" s="9" t="n">
        <v>5.2</v>
      </c>
      <c r="G10" s="9" t="n">
        <v>6</v>
      </c>
      <c r="H10" s="9" t="n">
        <v>5.8</v>
      </c>
      <c r="I10" s="9" t="n">
        <v>4.45</v>
      </c>
      <c r="J10" s="9" t="n">
        <v>0.2824680472410006</v>
      </c>
      <c r="K10" s="9" t="n">
        <v>1.514245751488707</v>
      </c>
      <c r="L10" s="9" t="n">
        <v>0.0522823796718832</v>
      </c>
      <c r="M10" s="9" t="n">
        <v>0.1302585908804748</v>
      </c>
      <c r="N10" s="9" t="n">
        <v>0.5790593092043358</v>
      </c>
      <c r="O10" s="9" t="n">
        <v>2.909170353377873</v>
      </c>
      <c r="P10" s="9" t="n">
        <v>0.2197165581761448</v>
      </c>
      <c r="Q10" s="9" t="n">
        <v>0.2107897011425777</v>
      </c>
      <c r="R10" s="9" t="n">
        <v>0.43923170681051</v>
      </c>
      <c r="S10" s="9" t="n">
        <v>0.7760407834989165</v>
      </c>
      <c r="T10" s="9" t="n">
        <v>166730029531.111</v>
      </c>
      <c r="U10" s="9" t="n">
        <v>0.142100582526827</v>
      </c>
      <c r="V10" s="9" t="n">
        <v>0.0183156388887341</v>
      </c>
      <c r="W10" s="9" t="n">
        <v>-1.866513050514766</v>
      </c>
      <c r="X10" s="9" t="n">
        <v>5.556423991156519</v>
      </c>
      <c r="Y10" s="9" t="n">
        <v>66.7468216272846</v>
      </c>
      <c r="Z10" s="9" t="n">
        <v>71.3496724554285</v>
      </c>
      <c r="AA10" s="9" t="n">
        <v>5.493724429910773</v>
      </c>
      <c r="AB10" s="9" t="n">
        <v>68.80590707345479</v>
      </c>
      <c r="AC10" s="9" t="n">
        <v>3.044567652100412</v>
      </c>
      <c r="AD10" s="9" t="n">
        <v>1874.157203125004</v>
      </c>
      <c r="AE10" s="9" t="n">
        <v>19770.75109432871</v>
      </c>
      <c r="AF10" s="9" t="n">
        <v>23848.78308506944</v>
      </c>
      <c r="AG10" s="9" t="n">
        <v>43535.17270833333</v>
      </c>
      <c r="AH10" s="8" t="inlineStr">
        <is>
          <t>Moderate (5.0-5.9)</t>
        </is>
      </c>
    </row>
    <row r="11">
      <c r="A11" s="8" t="inlineStr">
        <is>
          <t>2008-08-20 13:18:02.830</t>
        </is>
      </c>
      <c r="B11" s="8" t="n">
        <v>2008</v>
      </c>
      <c r="C11" s="9" t="n">
        <v>13.037</v>
      </c>
      <c r="D11" s="9" t="n">
        <v>124.348</v>
      </c>
      <c r="E11" s="8" t="n">
        <v>13</v>
      </c>
      <c r="F11" s="9" t="n">
        <v>5.2</v>
      </c>
      <c r="G11" s="9" t="n">
        <v>7</v>
      </c>
      <c r="H11" s="9" t="n">
        <v>5.8</v>
      </c>
      <c r="I11" s="9" t="n">
        <v>4.557142857142858</v>
      </c>
      <c r="J11" s="9" t="n">
        <v>0.4200018642434659</v>
      </c>
      <c r="K11" s="9" t="n">
        <v>2.358274685826236</v>
      </c>
      <c r="L11" s="9" t="n">
        <v>0.1069262844361376</v>
      </c>
      <c r="M11" s="9" t="n">
        <v>0.0773674005128439</v>
      </c>
      <c r="N11" s="9" t="n">
        <v>0.5264175538221233</v>
      </c>
      <c r="O11" s="9" t="n">
        <v>2.81301371738088</v>
      </c>
      <c r="P11" s="9" t="n">
        <v>0.1679742710923692</v>
      </c>
      <c r="Q11" s="9" t="n">
        <v>0.1214279832355935</v>
      </c>
      <c r="R11" s="9" t="n">
        <v>0.1850851946238139</v>
      </c>
      <c r="S11" s="9" t="n">
        <v>0.4563071520760902</v>
      </c>
      <c r="T11" s="9" t="n">
        <v>173464032007.2515</v>
      </c>
      <c r="U11" s="9" t="n">
        <v>0.0549533797059993</v>
      </c>
      <c r="V11" s="9" t="n">
        <v>0.0263479808144487</v>
      </c>
      <c r="W11" s="9" t="n">
        <v>-2.29128784747792</v>
      </c>
      <c r="X11" s="9" t="n">
        <v>6.461511257460935</v>
      </c>
      <c r="Y11" s="9" t="n">
        <v>66.7468216272846</v>
      </c>
      <c r="Z11" s="9" t="n">
        <v>71.39642858855227</v>
      </c>
      <c r="AA11" s="9" t="n">
        <v>5.016586792337813</v>
      </c>
      <c r="AB11" s="9" t="n">
        <v>69.11992245375559</v>
      </c>
      <c r="AC11" s="9" t="n">
        <v>2.563557246493126</v>
      </c>
      <c r="AD11" s="9" t="n">
        <v>1876.845585995368</v>
      </c>
      <c r="AE11" s="9" t="n">
        <v>19773.43947719907</v>
      </c>
      <c r="AF11" s="9" t="n">
        <v>23851.47146793981</v>
      </c>
      <c r="AG11" s="9" t="n">
        <v>43535.17270833333</v>
      </c>
      <c r="AH11" s="8" t="inlineStr">
        <is>
          <t>Moderate (5.0-5.9)</t>
        </is>
      </c>
    </row>
    <row r="12">
      <c r="A12" s="8" t="inlineStr">
        <is>
          <t>2008-08-30 12:04:47.740</t>
        </is>
      </c>
      <c r="B12" s="8" t="n">
        <v>2008</v>
      </c>
      <c r="C12" s="9" t="n">
        <v>13.05</v>
      </c>
      <c r="D12" s="9" t="n">
        <v>124.33</v>
      </c>
      <c r="E12" s="8" t="n">
        <v>7</v>
      </c>
      <c r="F12" s="9" t="n">
        <v>5.1</v>
      </c>
      <c r="G12" s="9" t="n">
        <v>7</v>
      </c>
      <c r="H12" s="9" t="n">
        <v>5.2</v>
      </c>
      <c r="I12" s="9" t="n">
        <v>4.4</v>
      </c>
      <c r="J12" s="9" t="n">
        <v>0.1920995553334706</v>
      </c>
      <c r="K12" s="9" t="n">
        <v>1.251922794564661</v>
      </c>
      <c r="L12" s="9" t="n">
        <v>0.0181470704114058</v>
      </c>
      <c r="M12" s="9" t="n">
        <v>0.0520208055014201</v>
      </c>
      <c r="N12" s="9" t="n">
        <v>0.5544184875360663</v>
      </c>
      <c r="O12" s="9" t="n">
        <v>2.805678902371141</v>
      </c>
      <c r="P12" s="9" t="n">
        <v>0.1511573302118172</v>
      </c>
      <c r="Q12" s="9" t="n">
        <v>0.2011041127441465</v>
      </c>
      <c r="R12" s="9" t="n">
        <v>-1.317052017072166</v>
      </c>
      <c r="S12" s="9" t="n">
        <v>0.1394203738766473</v>
      </c>
      <c r="T12" s="9" t="n">
        <v>68762689086.04602</v>
      </c>
      <c r="U12" s="9" t="n">
        <v>0.2652780607016044</v>
      </c>
      <c r="V12" s="9" t="n">
        <v>0.0217142351884288</v>
      </c>
      <c r="W12" s="9" t="n">
        <v>2.049390153191919</v>
      </c>
      <c r="X12" s="9" t="n">
        <v>6.129684583423837</v>
      </c>
      <c r="Y12" s="9" t="n">
        <v>66.7847422099136</v>
      </c>
      <c r="Z12" s="9" t="n">
        <v>72.24800377874746</v>
      </c>
      <c r="AA12" s="9" t="n">
        <v>4.714898448569857</v>
      </c>
      <c r="AB12" s="9" t="n">
        <v>70.16863417696906</v>
      </c>
      <c r="AC12" s="9" t="n">
        <v>-0.5576286745191062</v>
      </c>
      <c r="AD12" s="9" t="n">
        <v>1886.794716898156</v>
      </c>
      <c r="AE12" s="9" t="n">
        <v>19783.38860810186</v>
      </c>
      <c r="AF12" s="9" t="n">
        <v>23861.4205988426</v>
      </c>
      <c r="AG12" s="9" t="n">
        <v>43535.17270833333</v>
      </c>
      <c r="AH12" s="8" t="inlineStr">
        <is>
          <t>Moderate (5.0-5.9)</t>
        </is>
      </c>
    </row>
    <row r="13">
      <c r="A13" s="8" t="inlineStr">
        <is>
          <t>2008-08-31 00:29:34.890</t>
        </is>
      </c>
      <c r="B13" s="8" t="n">
        <v>2008</v>
      </c>
      <c r="C13" s="9" t="n">
        <v>13.013</v>
      </c>
      <c r="D13" s="9" t="n">
        <v>124.231</v>
      </c>
      <c r="E13" s="8" t="n">
        <v>1</v>
      </c>
      <c r="F13" s="9" t="n">
        <v>5</v>
      </c>
      <c r="G13" s="9" t="n">
        <v>7</v>
      </c>
      <c r="H13" s="9" t="n">
        <v>5.2</v>
      </c>
      <c r="I13" s="9" t="n">
        <v>4.557142857142857</v>
      </c>
      <c r="J13" s="9" t="n">
        <v>0.2163382849616371</v>
      </c>
      <c r="K13" s="9" t="n">
        <v>1.511977098654741</v>
      </c>
      <c r="L13" s="9" t="n">
        <v>0.0239388420387163</v>
      </c>
      <c r="M13" s="9" t="n">
        <v>0.0477122314843891</v>
      </c>
      <c r="N13" s="9" t="n">
        <v>0.5264175538221239</v>
      </c>
      <c r="O13" s="9" t="n">
        <v>2.813013717380883</v>
      </c>
      <c r="P13" s="9" t="n">
        <v>0.1417415245235941</v>
      </c>
      <c r="Q13" s="9" t="n">
        <v>0.1868881818411501</v>
      </c>
      <c r="R13" s="9" t="n">
        <v>-1.788948345055323</v>
      </c>
      <c r="S13" s="9" t="n">
        <v>-0.1436928479239094</v>
      </c>
      <c r="T13" s="9" t="n">
        <v>78905131182.04561</v>
      </c>
      <c r="U13" s="9" t="n">
        <v>0.2243805173929699</v>
      </c>
      <c r="V13" s="9" t="n">
        <v>0.0263479808144486</v>
      </c>
      <c r="W13" s="9" t="n">
        <v>1.167748416242284</v>
      </c>
      <c r="X13" s="9" t="n">
        <v>6.129684583423837</v>
      </c>
      <c r="Y13" s="9" t="n">
        <v>66.7847422099136</v>
      </c>
      <c r="Z13" s="9" t="n">
        <v>71.27619284013005</v>
      </c>
      <c r="AA13" s="9" t="n">
        <v>4.447176047686312</v>
      </c>
      <c r="AB13" s="9" t="n">
        <v>69.9520806052868</v>
      </c>
      <c r="AC13" s="9" t="n">
        <v>-0.171969104406535</v>
      </c>
      <c r="AD13" s="9" t="n">
        <v>1887.311929282405</v>
      </c>
      <c r="AE13" s="9" t="n">
        <v>19783.90582048611</v>
      </c>
      <c r="AF13" s="9" t="n">
        <v>23861.93781122685</v>
      </c>
      <c r="AG13" s="9" t="n">
        <v>43535.17270833333</v>
      </c>
      <c r="AH13" s="8" t="inlineStr">
        <is>
          <t>Moderate (5.0-5.9)</t>
        </is>
      </c>
    </row>
    <row r="14">
      <c r="A14" s="8" t="inlineStr">
        <is>
          <t>2009-06-14 21:08:24.520</t>
        </is>
      </c>
      <c r="B14" s="8" t="n">
        <v>2009</v>
      </c>
      <c r="C14" s="9" t="n">
        <v>5.174</v>
      </c>
      <c r="D14" s="9" t="n">
        <v>126.37</v>
      </c>
      <c r="E14" s="8" t="n">
        <v>43</v>
      </c>
      <c r="F14" s="9" t="n">
        <v>5.2</v>
      </c>
      <c r="G14" s="9" t="n">
        <v>3</v>
      </c>
      <c r="H14" s="9" t="n">
        <v>6.3</v>
      </c>
      <c r="I14" s="9" t="n">
        <v>5.4</v>
      </c>
      <c r="J14" s="9" t="n">
        <v>0.2513354217309754</v>
      </c>
      <c r="K14" s="9" t="n">
        <v>1.481174793213888</v>
      </c>
      <c r="L14" s="9" t="n">
        <v>0.0665801674378102</v>
      </c>
      <c r="M14" s="9" t="n">
        <v>0.1050917517387242</v>
      </c>
      <c r="N14" s="9" t="n">
        <v>0.6681453567742341</v>
      </c>
      <c r="O14" s="9" t="n">
        <v>3.684218967235986</v>
      </c>
      <c r="P14" s="9" t="n">
        <v>0.470521413153263</v>
      </c>
      <c r="Q14" s="9" t="n">
        <v>0.2443481772043065</v>
      </c>
      <c r="R14" s="9" t="n">
        <v>0.4067805603648295</v>
      </c>
      <c r="S14" s="9" t="n">
        <v>0.785902012365729</v>
      </c>
      <c r="T14" s="9" t="n">
        <v>469815112012.8346</v>
      </c>
      <c r="U14" s="9" t="n">
        <v>0.1761950628082139</v>
      </c>
      <c r="V14" s="9" t="n">
        <v>0.0098983756072038</v>
      </c>
      <c r="W14" s="9" t="n">
        <v>-1</v>
      </c>
      <c r="X14" s="9" t="n">
        <v>1.968428740911147</v>
      </c>
      <c r="Y14" s="9" t="n">
        <v>91.0709255131632</v>
      </c>
      <c r="Z14" s="9" t="n">
        <v>113.4510350217894</v>
      </c>
      <c r="AA14" s="9" t="n">
        <v>20.48672239964152</v>
      </c>
      <c r="AB14" s="9" t="n">
        <v>130.5814654816585</v>
      </c>
      <c r="AC14" s="9" t="n">
        <v>-1.711003963559148</v>
      </c>
      <c r="AD14" s="9" t="n">
        <v>0.6602412037027534</v>
      </c>
      <c r="AE14" s="9" t="n">
        <v>3938.521420370365</v>
      </c>
      <c r="AF14" s="9" t="n">
        <v>3938.521420370365</v>
      </c>
      <c r="AG14" s="9" t="n">
        <v>35156.51625601852</v>
      </c>
      <c r="AH14" s="8" t="inlineStr">
        <is>
          <t>Moderate (5.0-5.9)</t>
        </is>
      </c>
    </row>
    <row r="15">
      <c r="A15" s="8" t="inlineStr">
        <is>
          <t>2009-08-16 17:29:41.770</t>
        </is>
      </c>
      <c r="B15" s="8" t="n">
        <v>2009</v>
      </c>
      <c r="C15" s="9" t="n">
        <v>5.035</v>
      </c>
      <c r="D15" s="9" t="n">
        <v>127.246</v>
      </c>
      <c r="E15" s="8" t="n">
        <v>137</v>
      </c>
      <c r="F15" s="9" t="n">
        <v>5.3</v>
      </c>
      <c r="G15" s="9" t="n">
        <v>3</v>
      </c>
      <c r="H15" s="9" t="n">
        <v>4.9</v>
      </c>
      <c r="I15" s="9" t="n">
        <v>4.666666666666667</v>
      </c>
      <c r="J15" s="9" t="n">
        <v>0.5112013443424956</v>
      </c>
      <c r="K15" s="9" t="n">
        <v>2.634707788695418</v>
      </c>
      <c r="L15" s="9" t="n">
        <v>0.1115504695518063</v>
      </c>
      <c r="M15" s="9" t="n">
        <v>0.0877740720468474</v>
      </c>
      <c r="N15" s="9" t="n">
        <v>1.042306756567804</v>
      </c>
      <c r="O15" s="9" t="n">
        <v>4.959040307961218</v>
      </c>
      <c r="P15" s="9" t="n">
        <v>0.4637442461910837</v>
      </c>
      <c r="Q15" s="9" t="n">
        <v>0.1831412717134682</v>
      </c>
      <c r="R15" s="9" t="n">
        <v>-0.2539531690476364</v>
      </c>
      <c r="S15" s="9" t="n">
        <v>0.1422448797216207</v>
      </c>
      <c r="T15" s="9" t="n">
        <v>33943532044.16891</v>
      </c>
      <c r="U15" s="9" t="n">
        <v>0.0292681968266656</v>
      </c>
      <c r="V15" s="9" t="n">
        <v>0.0007465858083765999</v>
      </c>
      <c r="W15" s="9" t="n">
        <v>-0.6123724356957945</v>
      </c>
      <c r="X15" s="9" t="n">
        <v>1.82516716386822</v>
      </c>
      <c r="Y15" s="9" t="n">
        <v>34.6269257555193</v>
      </c>
      <c r="Z15" s="9" t="n">
        <v>42.67757967343817</v>
      </c>
      <c r="AA15" s="9" t="n">
        <v>12.97545690474197</v>
      </c>
      <c r="AB15" s="9" t="n">
        <v>47.25713019842903</v>
      </c>
      <c r="AC15" s="9" t="n">
        <v>-2.248537367756279</v>
      </c>
      <c r="AD15" s="9" t="n">
        <v>63.50835752314742</v>
      </c>
      <c r="AE15" s="9" t="n">
        <v>4001.36953668981</v>
      </c>
      <c r="AF15" s="9" t="n">
        <v>4001.36953668981</v>
      </c>
      <c r="AG15" s="9" t="n">
        <v>18954.38098113425</v>
      </c>
      <c r="AH15" s="8" t="inlineStr">
        <is>
          <t>Moderate (5.0-5.9)</t>
        </is>
      </c>
    </row>
    <row r="16">
      <c r="A16" s="8" t="inlineStr">
        <is>
          <t>2009-11-16 19:58:57.050</t>
        </is>
      </c>
      <c r="B16" s="8" t="n">
        <v>2009</v>
      </c>
      <c r="C16" s="9" t="n">
        <v>6.546</v>
      </c>
      <c r="D16" s="9" t="n">
        <v>126.321</v>
      </c>
      <c r="E16" s="8" t="n">
        <v>38</v>
      </c>
      <c r="F16" s="9" t="n">
        <v>5.1</v>
      </c>
      <c r="G16" s="9" t="n">
        <v>4</v>
      </c>
      <c r="H16" s="9" t="n">
        <v>5.5</v>
      </c>
      <c r="I16" s="9" t="n">
        <v>4.65</v>
      </c>
      <c r="J16" s="9" t="n">
        <v>0.4598710263718064</v>
      </c>
      <c r="K16" s="9" t="n">
        <v>2.383079843038999</v>
      </c>
      <c r="L16" s="9" t="n">
        <v>0.1465961478661341</v>
      </c>
      <c r="M16" s="9" t="n">
        <v>0.1106632522871071</v>
      </c>
      <c r="N16" s="9" t="n">
        <v>0.7238241365054191</v>
      </c>
      <c r="O16" s="9" t="n">
        <v>3.56973895100018</v>
      </c>
      <c r="P16" s="9" t="n">
        <v>0.3631755340204986</v>
      </c>
      <c r="Q16" s="9" t="n">
        <v>0.1767346673125578</v>
      </c>
      <c r="R16" s="9" t="n">
        <v>0.317938712424394</v>
      </c>
      <c r="S16" s="9" t="n">
        <v>0.568223383328065</v>
      </c>
      <c r="T16" s="9" t="n">
        <v>90779915869.86412</v>
      </c>
      <c r="U16" s="9" t="n">
        <v>0.0417240945507647</v>
      </c>
      <c r="V16" s="9" t="n">
        <v>0.0067379469990854</v>
      </c>
      <c r="W16" s="9" t="n">
        <v>1.154700538379252</v>
      </c>
      <c r="X16" s="9" t="n">
        <v>3.066241124341636</v>
      </c>
      <c r="Y16" s="9" t="n">
        <v>21.3771703687113</v>
      </c>
      <c r="Z16" s="9" t="n">
        <v>34.4795954668252</v>
      </c>
      <c r="AA16" s="9" t="n">
        <v>9.0609738704799</v>
      </c>
      <c r="AB16" s="9" t="n">
        <v>37.6507020773421</v>
      </c>
      <c r="AC16" s="9" t="n">
        <v>1.17254040887199</v>
      </c>
      <c r="AD16" s="9" t="n">
        <v>3241.54294039352</v>
      </c>
      <c r="AE16" s="9" t="n">
        <v>3241.54294039352</v>
      </c>
      <c r="AF16" s="9" t="n">
        <v>3241.54294039352</v>
      </c>
      <c r="AG16" s="9" t="n">
        <v>14329.29553761574</v>
      </c>
      <c r="AH16" s="8" t="inlineStr">
        <is>
          <t>Moderate (5.0-5.9)</t>
        </is>
      </c>
    </row>
    <row r="17">
      <c r="A17" s="8" t="inlineStr">
        <is>
          <t>2009-11-17 00:39:09.080</t>
        </is>
      </c>
      <c r="B17" s="8" t="n">
        <v>2009</v>
      </c>
      <c r="C17" s="9" t="n">
        <v>5.822</v>
      </c>
      <c r="D17" s="9" t="n">
        <v>126.974</v>
      </c>
      <c r="E17" s="8" t="n">
        <v>119</v>
      </c>
      <c r="F17" s="9" t="n">
        <v>5.2</v>
      </c>
      <c r="G17" s="9" t="n">
        <v>3</v>
      </c>
      <c r="H17" s="9" t="n">
        <v>4.6</v>
      </c>
      <c r="I17" s="9" t="n">
        <v>4.366666666666666</v>
      </c>
      <c r="J17" s="9" t="n">
        <v>0.9396275030257883</v>
      </c>
      <c r="K17" s="9" t="n">
        <v>4.317414845114114</v>
      </c>
      <c r="L17" s="9" t="n">
        <v>0.2950494586047616</v>
      </c>
      <c r="M17" s="9" t="n">
        <v>0.0741582297141534</v>
      </c>
      <c r="N17" s="9" t="n">
        <v>1.371456258641849</v>
      </c>
      <c r="O17" s="9" t="n">
        <v>6.100091915151243</v>
      </c>
      <c r="P17" s="9" t="n">
        <v>0.6285608149827189</v>
      </c>
      <c r="Q17" s="9" t="n">
        <v>0.1494322711497051</v>
      </c>
      <c r="R17" s="9" t="n">
        <v>0.005184680938802</v>
      </c>
      <c r="S17" s="9" t="n">
        <v>0.1521061085884314</v>
      </c>
      <c r="T17" s="9" t="n">
        <v>17254297380.55963</v>
      </c>
      <c r="U17" s="9" t="n">
        <v>0.0015174608349342</v>
      </c>
      <c r="V17" s="9" t="n">
        <v>7.684776196487846e-05</v>
      </c>
      <c r="W17" s="9" t="n">
        <v>0.6123724356957945</v>
      </c>
      <c r="X17" s="9" t="n">
        <v>1.458826945441948</v>
      </c>
      <c r="Y17" s="9" t="n">
        <v>21.3771703687113</v>
      </c>
      <c r="Z17" s="9" t="n">
        <v>33.1806635100325</v>
      </c>
      <c r="AA17" s="9" t="n">
        <v>10.63148747128149</v>
      </c>
      <c r="AB17" s="9" t="n">
        <v>27.97469729412031</v>
      </c>
      <c r="AC17" s="9" t="n">
        <v>2.952113353937555</v>
      </c>
      <c r="AD17" s="9" t="n">
        <v>819.4533550925917</v>
      </c>
      <c r="AE17" s="9" t="n">
        <v>819.4533550925917</v>
      </c>
      <c r="AF17" s="9" t="n">
        <v>4093.667769444437</v>
      </c>
      <c r="AG17" s="9" t="n">
        <v>19046.67921388888</v>
      </c>
      <c r="AH17" s="8" t="inlineStr">
        <is>
          <t>Moderate (5.0-5.9)</t>
        </is>
      </c>
    </row>
    <row r="18">
      <c r="A18" s="8" t="inlineStr">
        <is>
          <t>2009-11-28 18:10:18.980</t>
        </is>
      </c>
      <c r="B18" s="8" t="n">
        <v>2009</v>
      </c>
      <c r="C18" s="9" t="n">
        <v>5.084</v>
      </c>
      <c r="D18" s="9" t="n">
        <v>126.468</v>
      </c>
      <c r="E18" s="8" t="n">
        <v>38</v>
      </c>
      <c r="F18" s="9" t="n">
        <v>6</v>
      </c>
      <c r="G18" s="9" t="n">
        <v>3</v>
      </c>
      <c r="H18" s="9" t="n">
        <v>5.2</v>
      </c>
      <c r="I18" s="9" t="n">
        <v>4.666666666666667</v>
      </c>
      <c r="J18" s="9" t="n">
        <v>0.3180808364797756</v>
      </c>
      <c r="K18" s="9" t="n">
        <v>1.579801487849552</v>
      </c>
      <c r="L18" s="9" t="n">
        <v>0.0620542567018799</v>
      </c>
      <c r="M18" s="9" t="n">
        <v>0.1330627605445747</v>
      </c>
      <c r="N18" s="9" t="n">
        <v>1.371456258641849</v>
      </c>
      <c r="O18" s="9" t="n">
        <v>6.511528792743798</v>
      </c>
      <c r="P18" s="9" t="n">
        <v>1.15361392521231</v>
      </c>
      <c r="Q18" s="9" t="n">
        <v>0.3440296245519842</v>
      </c>
      <c r="R18" s="9" t="n">
        <v>0.2333333333333351</v>
      </c>
      <c r="S18" s="9" t="n">
        <v>0.4521061085884321</v>
      </c>
      <c r="T18" s="9" t="n">
        <v>49570358148.6789</v>
      </c>
      <c r="U18" s="9" t="n">
        <v>0.1111111111111105</v>
      </c>
      <c r="V18" s="9" t="n">
        <v>7.684776196487846e-05</v>
      </c>
      <c r="W18" s="9" t="n">
        <v>-0.6123724356957945</v>
      </c>
      <c r="X18" s="9" t="n">
        <v>1.206719165204209</v>
      </c>
      <c r="Y18" s="9" t="n">
        <v>47.2246313360984</v>
      </c>
      <c r="Z18" s="9" t="n">
        <v>80.78944669466797</v>
      </c>
      <c r="AA18" s="9" t="n">
        <v>30.26910608391102</v>
      </c>
      <c r="AB18" s="9" t="n">
        <v>52.86611433917184</v>
      </c>
      <c r="AC18" s="9" t="n">
        <v>6.870889058796631</v>
      </c>
      <c r="AD18" s="9" t="n">
        <v>167.5365659722156</v>
      </c>
      <c r="AE18" s="9" t="n">
        <v>4105.397745138878</v>
      </c>
      <c r="AF18" s="9" t="n">
        <v>4105.397745138878</v>
      </c>
      <c r="AG18" s="9" t="n">
        <v>35323.39258078703</v>
      </c>
      <c r="AH18" s="8" t="inlineStr">
        <is>
          <t>Strong (6.0-6.9)</t>
        </is>
      </c>
    </row>
    <row r="19">
      <c r="A19" s="8" t="inlineStr">
        <is>
          <t>2009-11-29 02:28:01.040</t>
        </is>
      </c>
      <c r="B19" s="8" t="n">
        <v>2009</v>
      </c>
      <c r="C19" s="9" t="n">
        <v>5.111</v>
      </c>
      <c r="D19" s="9" t="n">
        <v>126.473</v>
      </c>
      <c r="E19" s="8" t="n">
        <v>64</v>
      </c>
      <c r="F19" s="9" t="n">
        <v>5.2</v>
      </c>
      <c r="G19" s="9" t="n">
        <v>4</v>
      </c>
      <c r="H19" s="9" t="n">
        <v>6</v>
      </c>
      <c r="I19" s="9" t="n">
        <v>5</v>
      </c>
      <c r="J19" s="9" t="n">
        <v>0.3246401914023326</v>
      </c>
      <c r="K19" s="9" t="n">
        <v>1.865205463329766</v>
      </c>
      <c r="L19" s="9" t="n">
        <v>0.0928320879088196</v>
      </c>
      <c r="M19" s="9" t="n">
        <v>0.0881685529302325</v>
      </c>
      <c r="N19" s="9" t="n">
        <v>0.6681453567742341</v>
      </c>
      <c r="O19" s="9" t="n">
        <v>3.541899561134593</v>
      </c>
      <c r="P19" s="9" t="n">
        <v>0.3932198708500283</v>
      </c>
      <c r="Q19" s="9" t="n">
        <v>0.2249664141191728</v>
      </c>
      <c r="R19" s="9" t="n">
        <v>0.2545454545454522</v>
      </c>
      <c r="S19" s="9" t="n">
        <v>0.6989086652720715</v>
      </c>
      <c r="T19" s="9" t="n">
        <v>256033112809.6671</v>
      </c>
      <c r="U19" s="9" t="n">
        <v>0.1061889742772127</v>
      </c>
      <c r="V19" s="9" t="n">
        <v>0.0098983756072038</v>
      </c>
      <c r="W19" s="9" t="n">
        <v>-1.154700538379252</v>
      </c>
      <c r="X19" s="9" t="n">
        <v>1.973895774961503</v>
      </c>
      <c r="Y19" s="9" t="n">
        <v>47.2246313360984</v>
      </c>
      <c r="Z19" s="9" t="n">
        <v>86.07045271908873</v>
      </c>
      <c r="AA19" s="9" t="n">
        <v>26.87691612888737</v>
      </c>
      <c r="AB19" s="9" t="n">
        <v>98.65949065158804</v>
      </c>
      <c r="AC19" s="9" t="n">
        <v>5.026559313134382</v>
      </c>
      <c r="AD19" s="9" t="n">
        <v>0.3456256944482447</v>
      </c>
      <c r="AE19" s="9" t="n">
        <v>4105.743370833327</v>
      </c>
      <c r="AF19" s="9" t="n">
        <v>4105.743370833327</v>
      </c>
      <c r="AG19" s="9" t="n">
        <v>35323.73820648148</v>
      </c>
      <c r="AH19" s="8" t="inlineStr">
        <is>
          <t>Moderate (5.0-5.9)</t>
        </is>
      </c>
    </row>
    <row r="20">
      <c r="A20" s="8" t="inlineStr">
        <is>
          <t>2009-11-29 20:09:09.110</t>
        </is>
      </c>
      <c r="B20" s="8" t="n">
        <v>2009</v>
      </c>
      <c r="C20" s="9" t="n">
        <v>5.173</v>
      </c>
      <c r="D20" s="9" t="n">
        <v>126.367</v>
      </c>
      <c r="E20" s="8" t="n">
        <v>74</v>
      </c>
      <c r="F20" s="9" t="n">
        <v>5.6</v>
      </c>
      <c r="G20" s="9" t="n">
        <v>7</v>
      </c>
      <c r="H20" s="9" t="n">
        <v>6</v>
      </c>
      <c r="I20" s="9" t="n">
        <v>4.814285714285715</v>
      </c>
      <c r="J20" s="9" t="n">
        <v>0.5097196973516022</v>
      </c>
      <c r="K20" s="9" t="n">
        <v>2.93559678893043</v>
      </c>
      <c r="L20" s="9" t="n">
        <v>0.1572555170123164</v>
      </c>
      <c r="M20" s="9" t="n">
        <v>0.1106491818301962</v>
      </c>
      <c r="N20" s="9" t="n">
        <v>0.5109346845920612</v>
      </c>
      <c r="O20" s="9" t="n">
        <v>2.895989148081882</v>
      </c>
      <c r="P20" s="9" t="n">
        <v>0.1580060909481548</v>
      </c>
      <c r="Q20" s="9" t="n">
        <v>0.1119373161714865</v>
      </c>
      <c r="R20" s="9" t="n">
        <v>0.2407625128415054</v>
      </c>
      <c r="S20" s="9" t="n">
        <v>0.3319777744310155</v>
      </c>
      <c r="T20" s="9" t="n">
        <v>260954068639.2119</v>
      </c>
      <c r="U20" s="9" t="n">
        <v>0.0295692907701643</v>
      </c>
      <c r="V20" s="9" t="n">
        <v>0.0293221591238937</v>
      </c>
      <c r="W20" s="9" t="n">
        <v>-1.485221314465011</v>
      </c>
      <c r="X20" s="9" t="n">
        <v>4.09361410979329</v>
      </c>
      <c r="Y20" s="9" t="n">
        <v>1.87524880016516</v>
      </c>
      <c r="Z20" s="9" t="n">
        <v>84.83956858911651</v>
      </c>
      <c r="AA20" s="9" t="n">
        <v>43.86536322161343</v>
      </c>
      <c r="AB20" s="9" t="n">
        <v>98.935501223671</v>
      </c>
      <c r="AC20" s="9" t="n">
        <v>5.892995162258218</v>
      </c>
      <c r="AD20" s="9" t="n">
        <v>1.082524652789289</v>
      </c>
      <c r="AE20" s="9" t="n">
        <v>4106.480269791668</v>
      </c>
      <c r="AF20" s="9" t="n">
        <v>4106.480269791668</v>
      </c>
      <c r="AG20" s="9" t="n">
        <v>35324.47510543982</v>
      </c>
      <c r="AH20" s="8" t="inlineStr">
        <is>
          <t>Moderate (5.0-5.9)</t>
        </is>
      </c>
    </row>
    <row r="21">
      <c r="A21" s="8" t="inlineStr">
        <is>
          <t>2009-12-01 16:11:13.110</t>
        </is>
      </c>
      <c r="B21" s="8" t="n">
        <v>2009</v>
      </c>
      <c r="C21" s="9" t="n">
        <v>5.285</v>
      </c>
      <c r="D21" s="9" t="n">
        <v>127.322</v>
      </c>
      <c r="E21" s="8" t="n">
        <v>109</v>
      </c>
      <c r="F21" s="9" t="n">
        <v>5.3</v>
      </c>
      <c r="G21" s="9" t="n">
        <v>5</v>
      </c>
      <c r="H21" s="9" t="n">
        <v>6</v>
      </c>
      <c r="I21" s="9" t="n">
        <v>4.840000000000001</v>
      </c>
      <c r="J21" s="9" t="n">
        <v>0.3715639409916382</v>
      </c>
      <c r="K21" s="9" t="n">
        <v>2.124023807608239</v>
      </c>
      <c r="L21" s="9" t="n">
        <v>0.1084286953867775</v>
      </c>
      <c r="M21" s="9" t="n">
        <v>0.08425365870226011</v>
      </c>
      <c r="N21" s="9" t="n">
        <v>0.5603799766493569</v>
      </c>
      <c r="O21" s="9" t="n">
        <v>3.011693890920197</v>
      </c>
      <c r="P21" s="9" t="n">
        <v>0.2466279703208651</v>
      </c>
      <c r="Q21" s="9" t="n">
        <v>0.1468131547044819</v>
      </c>
      <c r="R21" s="9" t="n">
        <v>0.283557758754533</v>
      </c>
      <c r="S21" s="9" t="n">
        <v>0.6256218701320844</v>
      </c>
      <c r="T21" s="9" t="n">
        <v>256163345052.0718</v>
      </c>
      <c r="U21" s="9" t="n">
        <v>0.0767906205252416</v>
      </c>
      <c r="V21" s="9" t="n">
        <v>0.0208381936704527</v>
      </c>
      <c r="W21" s="9" t="n">
        <v>-1.083472677771923</v>
      </c>
      <c r="X21" s="9" t="n">
        <v>3.300311366014327</v>
      </c>
      <c r="Y21" s="9" t="n">
        <v>89.1296295144795</v>
      </c>
      <c r="Z21" s="9" t="n">
        <v>99.3278093834938</v>
      </c>
      <c r="AA21" s="9" t="n">
        <v>9.658044504193647</v>
      </c>
      <c r="AB21" s="9" t="n">
        <v>101.750329104496</v>
      </c>
      <c r="AC21" s="9" t="n">
        <v>1.540243883396527</v>
      </c>
      <c r="AD21" s="9" t="n">
        <v>2.917293171303754</v>
      </c>
      <c r="AE21" s="9" t="n">
        <v>834.1006239583367</v>
      </c>
      <c r="AF21" s="9" t="n">
        <v>4108.315038310182</v>
      </c>
      <c r="AG21" s="9" t="n">
        <v>19061.32648275463</v>
      </c>
      <c r="AH21" s="8" t="inlineStr">
        <is>
          <t>Moderate (5.0-5.9)</t>
        </is>
      </c>
    </row>
    <row r="22">
      <c r="A22" s="8" t="inlineStr">
        <is>
          <t>2009-12-26 05:09:26.060</t>
        </is>
      </c>
      <c r="B22" s="8" t="n">
        <v>2009</v>
      </c>
      <c r="C22" s="9" t="n">
        <v>6.426</v>
      </c>
      <c r="D22" s="9" t="n">
        <v>126.251</v>
      </c>
      <c r="E22" s="8" t="n">
        <v>13</v>
      </c>
      <c r="F22" s="9" t="n">
        <v>5</v>
      </c>
      <c r="G22" s="9" t="n">
        <v>3</v>
      </c>
      <c r="H22" s="9" t="n">
        <v>4.1</v>
      </c>
      <c r="I22" s="9" t="n">
        <v>4.033333333333333</v>
      </c>
      <c r="J22" s="9" t="n">
        <v/>
      </c>
      <c r="K22" s="9" t="n">
        <v/>
      </c>
      <c r="L22" s="9" t="n">
        <v/>
      </c>
      <c r="M22" s="9" t="n">
        <v/>
      </c>
      <c r="N22" s="9" t="n">
        <v>5.21153378283904</v>
      </c>
      <c r="O22" s="9" t="n">
        <v>21.32325638607582</v>
      </c>
      <c r="P22" s="9" t="n">
        <v>2.082273135008224</v>
      </c>
      <c r="Q22" s="9" t="n">
        <v>0.0440321235642393</v>
      </c>
      <c r="R22" s="9" t="n">
        <v/>
      </c>
      <c r="S22" s="9" t="n">
        <v>0.008448975944324</v>
      </c>
      <c r="T22" s="9" t="n">
        <v>7462318208.131916</v>
      </c>
      <c r="U22" s="9" t="n">
        <v/>
      </c>
      <c r="V22" s="9" t="n">
        <v>2.319522830243285e-16</v>
      </c>
      <c r="W22" s="9" t="n">
        <v>0.6123724356957945</v>
      </c>
      <c r="X22" s="9" t="n">
        <v>1.631592556819646</v>
      </c>
      <c r="Y22" s="9" t="n">
        <v>9.67547597072971</v>
      </c>
      <c r="Z22" s="9" t="n">
        <v>19.51557139524197</v>
      </c>
      <c r="AA22" s="9" t="n">
        <v>12.18916258112569</v>
      </c>
      <c r="AB22" s="9" t="n">
        <v>18.32601413698457</v>
      </c>
      <c r="AC22" s="9" t="n">
        <v>-0.2030412204901096</v>
      </c>
      <c r="AD22" s="9" t="n">
        <v>3280.925220601857</v>
      </c>
      <c r="AE22" s="9" t="n">
        <v>3280.925220601857</v>
      </c>
      <c r="AF22" s="9" t="n">
        <v>3280.925220601857</v>
      </c>
      <c r="AG22" s="9" t="n">
        <v>14368.67781782408</v>
      </c>
      <c r="AH22" s="8" t="inlineStr">
        <is>
          <t>Moderate (5.0-5.9)</t>
        </is>
      </c>
    </row>
    <row r="23">
      <c r="A23" s="8" t="inlineStr">
        <is>
          <t>2009-12-30 11:17:47.590</t>
        </is>
      </c>
      <c r="B23" s="8" t="n">
        <v>2009</v>
      </c>
      <c r="C23" s="9" t="n">
        <v>6.353</v>
      </c>
      <c r="D23" s="9" t="n">
        <v>126.537</v>
      </c>
      <c r="E23" s="8" t="n">
        <v>31</v>
      </c>
      <c r="F23" s="9" t="n">
        <v>5.5</v>
      </c>
      <c r="G23" s="9" t="n">
        <v>9</v>
      </c>
      <c r="H23" s="9" t="n">
        <v>5</v>
      </c>
      <c r="I23" s="9" t="n">
        <v>4.433333333333334</v>
      </c>
      <c r="J23" s="9" t="n">
        <v>1.240118601268018</v>
      </c>
      <c r="K23" s="9" t="n">
        <v>6.171244463164143</v>
      </c>
      <c r="L23" s="9" t="n">
        <v>0.3954661228524198</v>
      </c>
      <c r="M23" s="9" t="n">
        <v>0.0612617981081967</v>
      </c>
      <c r="N23" s="9" t="n">
        <v>1.184439496099779</v>
      </c>
      <c r="O23" s="9" t="n">
        <v>5.871241083612693</v>
      </c>
      <c r="P23" s="9" t="n">
        <v>0.3607518810123953</v>
      </c>
      <c r="Q23" s="9" t="n">
        <v>0.0998862575852616</v>
      </c>
      <c r="R23" s="9" t="n">
        <v>0.0236659164260082</v>
      </c>
      <c r="S23" s="9" t="n">
        <v>0.0430215279497145</v>
      </c>
      <c r="T23" s="9" t="n">
        <v>44532379116.11551</v>
      </c>
      <c r="U23" s="9" t="n">
        <v>0.000190390027325</v>
      </c>
      <c r="V23" s="9" t="n">
        <v>0.0002796929449188</v>
      </c>
      <c r="W23" s="9" t="n">
        <v>-1.995897431577346</v>
      </c>
      <c r="X23" s="9" t="n">
        <v>6.146373318096205</v>
      </c>
      <c r="Y23" s="9" t="n">
        <v>7.6835546684232</v>
      </c>
      <c r="Z23" s="9" t="n">
        <v>16.61486084126403</v>
      </c>
      <c r="AA23" s="9" t="n">
        <v>5.423803081821656</v>
      </c>
      <c r="AB23" s="9" t="n">
        <v>17.7647237747625</v>
      </c>
      <c r="AC23" s="9" t="n">
        <v>0.0981194109916432</v>
      </c>
      <c r="AD23" s="9" t="n">
        <v>3284.158145717593</v>
      </c>
      <c r="AE23" s="9" t="n">
        <v>3285.181025347229</v>
      </c>
      <c r="AF23" s="9" t="n">
        <v>3285.181025347229</v>
      </c>
      <c r="AG23" s="9" t="n">
        <v>14372.93362256945</v>
      </c>
      <c r="AH23" s="8" t="inlineStr">
        <is>
          <t>Moderate (5.0-5.9)</t>
        </is>
      </c>
    </row>
    <row r="24">
      <c r="A24" s="8" t="inlineStr">
        <is>
          <t>2010-01-03 21:38:40.050</t>
        </is>
      </c>
      <c r="B24" s="8" t="n">
        <v>2010</v>
      </c>
      <c r="C24" s="9" t="n">
        <v>6.51</v>
      </c>
      <c r="D24" s="9" t="n">
        <v>126.233</v>
      </c>
      <c r="E24" s="8" t="n">
        <v>20</v>
      </c>
      <c r="F24" s="9" t="n">
        <v>5.3</v>
      </c>
      <c r="G24" s="9" t="n">
        <v>12</v>
      </c>
      <c r="H24" s="9" t="n">
        <v>5.5</v>
      </c>
      <c r="I24" s="9" t="n">
        <v>4.6</v>
      </c>
      <c r="J24" s="9" t="n">
        <v>0.9894172270540984</v>
      </c>
      <c r="K24" s="9" t="n">
        <v>5.296818589868201</v>
      </c>
      <c r="L24" s="9" t="n">
        <v>0.2866861369010235</v>
      </c>
      <c r="M24" s="9" t="n">
        <v>0.1198567760813515</v>
      </c>
      <c r="N24" s="9" t="n">
        <v>0.8228737551851102</v>
      </c>
      <c r="O24" s="9" t="n">
        <v>4.492599656735298</v>
      </c>
      <c r="P24" s="9" t="n">
        <v>0.1982961029869284</v>
      </c>
      <c r="Q24" s="9" t="n">
        <v>0.1296979478183277</v>
      </c>
      <c r="R24" s="9" t="n">
        <v>0.146526818985146</v>
      </c>
      <c r="S24" s="9" t="n">
        <v>0.0403536952947751</v>
      </c>
      <c r="T24" s="9" t="n">
        <v>106055655356.0414</v>
      </c>
      <c r="U24" s="9" t="n">
        <v>0.001075841564149</v>
      </c>
      <c r="V24" s="9" t="n">
        <v>0.0033992157820051</v>
      </c>
      <c r="W24" s="9" t="n">
        <v>0</v>
      </c>
      <c r="X24" s="9" t="n">
        <v>8.094792123684185</v>
      </c>
      <c r="Y24" s="9" t="n">
        <v>7.6835546684232</v>
      </c>
      <c r="Z24" s="9" t="n">
        <v>19.01439674544008</v>
      </c>
      <c r="AA24" s="9" t="n">
        <v>7.70920097076645</v>
      </c>
      <c r="AB24" s="9" t="n">
        <v>18.52518441934336</v>
      </c>
      <c r="AC24" s="9" t="n">
        <v>2.073782011488931</v>
      </c>
      <c r="AD24" s="9" t="n">
        <v>3289.612188078703</v>
      </c>
      <c r="AE24" s="9" t="n">
        <v>3289.612188078703</v>
      </c>
      <c r="AF24" s="9" t="n">
        <v>3289.612188078703</v>
      </c>
      <c r="AG24" s="9" t="n">
        <v>14377.36478530092</v>
      </c>
      <c r="AH24" s="8" t="inlineStr">
        <is>
          <t>Moderate (5.0-5.9)</t>
        </is>
      </c>
    </row>
    <row r="25">
      <c r="A25" s="8" t="inlineStr">
        <is>
          <t>2010-01-08 12:15:02.060</t>
        </is>
      </c>
      <c r="B25" s="8" t="n">
        <v>2010</v>
      </c>
      <c r="C25" s="9" t="n">
        <v>6.322</v>
      </c>
      <c r="D25" s="9" t="n">
        <v>126.733</v>
      </c>
      <c r="E25" s="8" t="n">
        <v>76</v>
      </c>
      <c r="F25" s="9" t="n">
        <v>5.2</v>
      </c>
      <c r="G25" s="9" t="n">
        <v>14</v>
      </c>
      <c r="H25" s="9" t="n">
        <v>5.5</v>
      </c>
      <c r="I25" s="9" t="n">
        <v>4.621428571428571</v>
      </c>
      <c r="J25" s="9" t="n">
        <v>0.8953690441464811</v>
      </c>
      <c r="K25" s="9" t="n">
        <v>4.955283068150151</v>
      </c>
      <c r="L25" s="9" t="n">
        <v>0.2280328828340091</v>
      </c>
      <c r="M25" s="9" t="n">
        <v>0.0796108917814267</v>
      </c>
      <c r="N25" s="9" t="n">
        <v>0.7487835894883662</v>
      </c>
      <c r="O25" s="9" t="n">
        <v>4.219769434799975</v>
      </c>
      <c r="P25" s="9" t="n">
        <v>0.1594799028959753</v>
      </c>
      <c r="Q25" s="9" t="n">
        <v>0.0922297413733911</v>
      </c>
      <c r="R25" s="9" t="n">
        <v>-0.0343470946930279</v>
      </c>
      <c r="S25" s="9" t="n">
        <v>-0.1354993539365452</v>
      </c>
      <c r="T25" s="9" t="n">
        <v>121455664104.2391</v>
      </c>
      <c r="U25" s="9" t="n">
        <v>0.0020601216565638</v>
      </c>
      <c r="V25" s="9" t="n">
        <v>0.005670863993169</v>
      </c>
      <c r="W25" s="9" t="n">
        <v>2.254938084008486</v>
      </c>
      <c r="X25" s="9" t="n">
        <v>10.26275177883954</v>
      </c>
      <c r="Y25" s="9" t="n">
        <v>7.6835546684232</v>
      </c>
      <c r="Z25" s="9" t="n">
        <v>18.58330248079604</v>
      </c>
      <c r="AA25" s="9" t="n">
        <v>7.214439292253673</v>
      </c>
      <c r="AB25" s="9" t="n">
        <v>17.49954396502786</v>
      </c>
      <c r="AC25" s="9" t="n">
        <v>0.3166315972180604</v>
      </c>
      <c r="AD25" s="9" t="n">
        <v>871.9366071759359</v>
      </c>
      <c r="AE25" s="9" t="n">
        <v>871.9366071759359</v>
      </c>
      <c r="AF25" s="9" t="n">
        <v>3294.220776157417</v>
      </c>
      <c r="AG25" s="9" t="n">
        <v>31314.82780162038</v>
      </c>
      <c r="AH25" s="8" t="inlineStr">
        <is>
          <t>Moderate (5.0-5.9)</t>
        </is>
      </c>
    </row>
    <row r="26">
      <c r="A26" s="8" t="inlineStr">
        <is>
          <t>2010-02-26 08:37:07.160</t>
        </is>
      </c>
      <c r="B26" s="8" t="n">
        <v>2010</v>
      </c>
      <c r="C26" s="9" t="n">
        <v>6.65</v>
      </c>
      <c r="D26" s="9" t="n">
        <v>126.565</v>
      </c>
      <c r="E26" s="8" t="n">
        <v>50</v>
      </c>
      <c r="F26" s="9" t="n">
        <v>5.6</v>
      </c>
      <c r="G26" s="9" t="n">
        <v>3</v>
      </c>
      <c r="H26" s="9" t="n">
        <v>5.4</v>
      </c>
      <c r="I26" s="9" t="n">
        <v>4.933333333333334</v>
      </c>
      <c r="J26" s="9" t="n">
        <v>0.3976010455997201</v>
      </c>
      <c r="K26" s="9" t="n">
        <v>2.067525437118543</v>
      </c>
      <c r="L26" s="9" t="n">
        <v>0.08483980408460171</v>
      </c>
      <c r="M26" s="9" t="n">
        <v>0.1377330424242445</v>
      </c>
      <c r="N26" s="9" t="n">
        <v>1.532804053776184</v>
      </c>
      <c r="O26" s="9" t="n">
        <v>7.681300307467725</v>
      </c>
      <c r="P26" s="9" t="n">
        <v>1.260892036769683</v>
      </c>
      <c r="Q26" s="9" t="n">
        <v>0.335373866689316</v>
      </c>
      <c r="R26" s="9" t="n">
        <v>0.2000000000000037</v>
      </c>
      <c r="S26" s="9" t="n">
        <v>0.3887265182107029</v>
      </c>
      <c r="T26" s="9" t="n">
        <v>76320907378.79773</v>
      </c>
      <c r="U26" s="9" t="n">
        <v>0.0641500299099577</v>
      </c>
      <c r="V26" s="9" t="n">
        <v>2.521087033094869e-05</v>
      </c>
      <c r="W26" s="9" t="n">
        <v>-0.6123724356957945</v>
      </c>
      <c r="X26" s="9" t="n">
        <v>1.302863809209866</v>
      </c>
      <c r="Y26" s="9" t="n">
        <v>20.7879294452629</v>
      </c>
      <c r="Z26" s="9" t="n">
        <v>44.03752933686081</v>
      </c>
      <c r="AA26" s="9" t="n">
        <v>21.27361026433973</v>
      </c>
      <c r="AB26" s="9" t="n">
        <v>47.71549976884397</v>
      </c>
      <c r="AC26" s="9" t="n">
        <v>-0.2750997101265428</v>
      </c>
      <c r="AD26" s="9" t="n">
        <v>3342.046566666664</v>
      </c>
      <c r="AE26" s="9" t="n">
        <v>3343.0694462963</v>
      </c>
      <c r="AF26" s="9" t="n">
        <v>3343.0694462963</v>
      </c>
      <c r="AG26" s="9" t="n">
        <v>31363.67647175926</v>
      </c>
      <c r="AH26" s="8" t="inlineStr">
        <is>
          <t>Moderate (5.0-5.9)</t>
        </is>
      </c>
    </row>
    <row r="27">
      <c r="A27" s="8" t="inlineStr">
        <is>
          <t>2010-02-26 16:18:53.860</t>
        </is>
      </c>
      <c r="B27" s="8" t="n">
        <v>2010</v>
      </c>
      <c r="C27" s="9" t="n">
        <v>5.754</v>
      </c>
      <c r="D27" s="9" t="n">
        <v>125.78</v>
      </c>
      <c r="E27" s="8" t="n">
        <v>14</v>
      </c>
      <c r="F27" s="9" t="n">
        <v>5.1</v>
      </c>
      <c r="G27" s="9" t="n">
        <v>3</v>
      </c>
      <c r="H27" s="9" t="n">
        <v>5</v>
      </c>
      <c r="I27" s="9" t="n">
        <v>4.8</v>
      </c>
      <c r="J27" s="9" t="n">
        <v>1.431363764158984</v>
      </c>
      <c r="K27" s="9" t="n">
        <v>7.06139456985099</v>
      </c>
      <c r="L27" s="9" t="n">
        <v>0.4712245118298961</v>
      </c>
      <c r="M27" s="9" t="n">
        <v>0.1508789884991497</v>
      </c>
      <c r="N27" s="9" t="n">
        <v>2.895296546021689</v>
      </c>
      <c r="O27" s="9" t="n">
        <v>14.0850150210216</v>
      </c>
      <c r="P27" s="9" t="n">
        <v>1.928030680563177</v>
      </c>
      <c r="Q27" s="9" t="n">
        <v>0.2574418656994647</v>
      </c>
      <c r="R27" s="9" t="n">
        <v>0.0666666666666655</v>
      </c>
      <c r="S27" s="9" t="n">
        <v>0.1352081566997842</v>
      </c>
      <c r="T27" s="9" t="n">
        <v>39709020393.67527</v>
      </c>
      <c r="U27" s="9" t="n">
        <v>5.080526342529193e-05</v>
      </c>
      <c r="V27" s="9" t="n">
        <v>2.061153622438413e-09</v>
      </c>
      <c r="W27" s="9" t="n">
        <v>-0.6123724356957945</v>
      </c>
      <c r="X27" s="9" t="n">
        <v>0.9485932936647604</v>
      </c>
      <c r="Y27" s="9" t="n">
        <v>20.7879294452629</v>
      </c>
      <c r="Z27" s="9" t="n">
        <v>37.7814885321005</v>
      </c>
      <c r="AA27" s="9" t="n">
        <v>21.92463458481384</v>
      </c>
      <c r="AB27" s="9" t="n">
        <v>34.85506376029035</v>
      </c>
      <c r="AC27" s="9" t="n">
        <v>1.713254842557017</v>
      </c>
      <c r="AD27" s="9" t="n">
        <v>428.5405552083321</v>
      </c>
      <c r="AE27" s="9" t="n">
        <v>4195.320371064809</v>
      </c>
      <c r="AF27" s="9" t="n">
        <v>4195.320371064809</v>
      </c>
      <c r="AG27" s="9" t="n">
        <v>14431.14272291667</v>
      </c>
      <c r="AH27" s="8" t="inlineStr">
        <is>
          <t>Moderate (5.0-5.9)</t>
        </is>
      </c>
    </row>
    <row r="28">
      <c r="A28" s="8" t="inlineStr">
        <is>
          <t>2010-03-08 17:22:03.980</t>
        </is>
      </c>
      <c r="B28" s="8" t="n">
        <v>2010</v>
      </c>
      <c r="C28" s="9" t="n">
        <v>20.13</v>
      </c>
      <c r="D28" s="9" t="n">
        <v>122.02</v>
      </c>
      <c r="E28" s="8" t="n">
        <v>11</v>
      </c>
      <c r="F28" s="9" t="n">
        <v>5.1</v>
      </c>
      <c r="G28" s="9" t="n">
        <v>4</v>
      </c>
      <c r="H28" s="9" t="n">
        <v>5.1</v>
      </c>
      <c r="I28" s="9" t="n">
        <v>4.95</v>
      </c>
      <c r="J28" s="9" t="n">
        <v>3.010299956639844</v>
      </c>
      <c r="K28" s="9" t="n">
        <v>15.25218644697521</v>
      </c>
      <c r="L28" s="9" t="n">
        <v>1.042119170328768</v>
      </c>
      <c r="M28" s="9" t="n">
        <v>0.1737997490307514</v>
      </c>
      <c r="N28" s="9" t="n">
        <v>4.342944819032533</v>
      </c>
      <c r="O28" s="9" t="n">
        <v>21.88248960458738</v>
      </c>
      <c r="P28" s="9" t="n">
        <v>2.169034515633568</v>
      </c>
      <c r="Q28" s="9" t="n">
        <v>0.2226914449670226</v>
      </c>
      <c r="R28" s="9" t="n">
        <v>0.0333333333333341</v>
      </c>
      <c r="S28" s="9" t="n">
        <v>0.0613705638880111</v>
      </c>
      <c r="T28" s="9" t="n">
        <v>59123951089.71491</v>
      </c>
      <c r="U28" s="9" t="n">
        <v>9.313225746152728e-10</v>
      </c>
      <c r="V28" s="9" t="n">
        <v>9.357622968839193e-14</v>
      </c>
      <c r="W28" s="9" t="n">
        <v>-0.8660254037844386</v>
      </c>
      <c r="X28" s="9" t="n">
        <v>5.954651581568434</v>
      </c>
      <c r="Y28" s="9" t="n">
        <v>24.4492307227526</v>
      </c>
      <c r="Z28" s="9" t="n">
        <v>37.90987203330178</v>
      </c>
      <c r="AA28" s="9" t="n">
        <v>12.19722426332951</v>
      </c>
      <c r="AB28" s="9" t="n">
        <v>35.22795701323214</v>
      </c>
      <c r="AC28" s="9" t="n">
        <v>4.812203707545152</v>
      </c>
      <c r="AD28" s="9" t="n">
        <v>645.642148148152</v>
      </c>
      <c r="AE28" s="9" t="n">
        <v>28932.10462939815</v>
      </c>
      <c r="AF28" s="9" t="n">
        <v>43535.17270833333</v>
      </c>
      <c r="AG28" s="9" t="n">
        <v>43535.17270833333</v>
      </c>
      <c r="AH28" s="8" t="inlineStr">
        <is>
          <t>Moderate (5.0-5.9)</t>
        </is>
      </c>
    </row>
    <row r="29">
      <c r="A29" s="8" t="inlineStr">
        <is>
          <t>2010-07-23 22:51:13.770</t>
        </is>
      </c>
      <c r="B29" s="8" t="n">
        <v>2010</v>
      </c>
      <c r="C29" s="9" t="n">
        <v>6.684</v>
      </c>
      <c r="D29" s="9" t="n">
        <v>123.584</v>
      </c>
      <c r="E29" s="8" t="n">
        <v>568</v>
      </c>
      <c r="F29" s="9" t="n">
        <v>7.1</v>
      </c>
      <c r="G29" s="9" t="n">
        <v>3</v>
      </c>
      <c r="H29" s="9" t="n">
        <v>6.9</v>
      </c>
      <c r="I29" s="9" t="n">
        <v>5.533333333333334</v>
      </c>
      <c r="J29" s="9" t="n">
        <v>0.1744836977138579</v>
      </c>
      <c r="K29" s="9" t="n">
        <v>1.125188493681605</v>
      </c>
      <c r="L29" s="9" t="n">
        <v>0.0545896056748328</v>
      </c>
      <c r="M29" s="9" t="n">
        <v>0.07722519546491211</v>
      </c>
      <c r="N29" s="9" t="n">
        <v>0.3139478182433144</v>
      </c>
      <c r="O29" s="9" t="n">
        <v>1.795702091341583</v>
      </c>
      <c r="P29" s="9" t="n">
        <v>0.1767319962861024</v>
      </c>
      <c r="Q29" s="9" t="n">
        <v>0.1738870176035623</v>
      </c>
      <c r="R29" s="9" t="n">
        <v>0.4513259495059456</v>
      </c>
      <c r="S29" s="9" t="n">
        <v>1.180253000675781</v>
      </c>
      <c r="T29" s="9" t="n">
        <v>1624268322060.156</v>
      </c>
      <c r="U29" s="9" t="n">
        <v>0.2996048965106228</v>
      </c>
      <c r="V29" s="9" t="n">
        <v>0.1143290369605158</v>
      </c>
      <c r="W29" s="9" t="n">
        <v>-0.4472135954999578</v>
      </c>
      <c r="X29" s="9" t="n">
        <v>3.259718258647996</v>
      </c>
      <c r="Y29" s="9" t="n">
        <v>5.97687315628716</v>
      </c>
      <c r="Z29" s="9" t="n">
        <v>15.21643260502858</v>
      </c>
      <c r="AA29" s="9" t="n">
        <v>15.808262815614</v>
      </c>
      <c r="AB29" s="9" t="n">
        <v>5.981083040901175</v>
      </c>
      <c r="AC29" s="9" t="n">
        <v>-2.439672229669376</v>
      </c>
      <c r="AD29" s="9" t="n">
        <v>0.0298812499968335</v>
      </c>
      <c r="AE29" s="9" t="n">
        <v>0.0298812499968335</v>
      </c>
      <c r="AF29" s="9" t="n">
        <v>12394.27789201388</v>
      </c>
      <c r="AG29" s="9" t="n">
        <v>12394.27789201388</v>
      </c>
      <c r="AH29" s="8" t="inlineStr">
        <is>
          <t>Major (&gt;=7.0)</t>
        </is>
      </c>
    </row>
    <row r="30">
      <c r="A30" s="8" t="inlineStr">
        <is>
          <t>2010-07-23 23:15:07.550</t>
        </is>
      </c>
      <c r="B30" s="8" t="n">
        <v>2010</v>
      </c>
      <c r="C30" s="9" t="n">
        <v>6.574</v>
      </c>
      <c r="D30" s="9" t="n">
        <v>123.34</v>
      </c>
      <c r="E30" s="8" t="n">
        <v>638</v>
      </c>
      <c r="F30" s="9" t="n">
        <v>7.1</v>
      </c>
      <c r="G30" s="9" t="n">
        <v>4</v>
      </c>
      <c r="H30" s="9" t="n">
        <v>7.1</v>
      </c>
      <c r="I30" s="9" t="n">
        <v>5.925000000000001</v>
      </c>
      <c r="J30" s="9" t="n">
        <v>0.1333155620629504</v>
      </c>
      <c r="K30" s="9" t="n">
        <v>1.120534800388314</v>
      </c>
      <c r="L30" s="9" t="n">
        <v>0.0276430637712981</v>
      </c>
      <c r="M30" s="9" t="n">
        <v>0.0704064486684078</v>
      </c>
      <c r="N30" s="9" t="n">
        <v>0.2446729475511277</v>
      </c>
      <c r="O30" s="9" t="n">
        <v>1.629686371042699</v>
      </c>
      <c r="P30" s="9" t="n">
        <v>0.0931100130328661</v>
      </c>
      <c r="Q30" s="9" t="n">
        <v>0.1716635258729994</v>
      </c>
      <c r="R30" s="9" t="n">
        <v>-1.305131276866285</v>
      </c>
      <c r="S30" s="9" t="n">
        <v>0.4393275090121937</v>
      </c>
      <c r="T30" s="9" t="n">
        <v>2943440748986.075</v>
      </c>
      <c r="U30" s="9" t="n">
        <v>0.3981560450251006</v>
      </c>
      <c r="V30" s="9" t="n">
        <v>0.18449353715774</v>
      </c>
      <c r="W30" s="9" t="n">
        <v>-0.6324555320336758</v>
      </c>
      <c r="X30" s="9" t="n">
        <v>4.819094914515003</v>
      </c>
      <c r="Y30" s="9" t="n">
        <v>2.27784685315688</v>
      </c>
      <c r="Z30" s="9" t="n">
        <v>11.98178616706066</v>
      </c>
      <c r="AA30" s="9" t="n">
        <v>14.43788531882874</v>
      </c>
      <c r="AB30" s="9" t="n">
        <v>3.520809144469828</v>
      </c>
      <c r="AC30" s="9" t="n">
        <v>-2.551613022635278</v>
      </c>
      <c r="AD30" s="9" t="n">
        <v>0.0165946759298094</v>
      </c>
      <c r="AE30" s="9" t="n">
        <v>0.0165946759298094</v>
      </c>
      <c r="AF30" s="9" t="n">
        <v>0.0165946759298094</v>
      </c>
      <c r="AG30" s="9" t="n">
        <v>12394.29448668981</v>
      </c>
      <c r="AH30" s="8" t="inlineStr">
        <is>
          <t>Major (&gt;=7.0)</t>
        </is>
      </c>
    </row>
    <row r="31">
      <c r="A31" s="8" t="inlineStr">
        <is>
          <t>2010-07-29 07:31:55.330</t>
        </is>
      </c>
      <c r="B31" s="8" t="n">
        <v>2010</v>
      </c>
      <c r="C31" s="9" t="n">
        <v>6.396</v>
      </c>
      <c r="D31" s="9" t="n">
        <v>123.4</v>
      </c>
      <c r="E31" s="8" t="n">
        <v>616</v>
      </c>
      <c r="F31" s="9" t="n">
        <v>6.6</v>
      </c>
      <c r="G31" s="9" t="n">
        <v>16</v>
      </c>
      <c r="H31" s="9" t="n">
        <v>7.1</v>
      </c>
      <c r="I31" s="9" t="n">
        <v>5.168749999999999</v>
      </c>
      <c r="J31" s="9" t="n">
        <v>0.2675040086106948</v>
      </c>
      <c r="K31" s="9" t="n">
        <v>2.200766695419793</v>
      </c>
      <c r="L31" s="9" t="n">
        <v>0.0441809693074939</v>
      </c>
      <c r="M31" s="9" t="n">
        <v>0.0546725102295383</v>
      </c>
      <c r="N31" s="9" t="n">
        <v>0.3702182468683454</v>
      </c>
      <c r="O31" s="9" t="n">
        <v>2.705881813840722</v>
      </c>
      <c r="P31" s="9" t="n">
        <v>0.0846233650096969</v>
      </c>
      <c r="Q31" s="9" t="n">
        <v>0.1253469844521768</v>
      </c>
      <c r="R31" s="9" t="n">
        <v>-1.127041930510371</v>
      </c>
      <c r="S31" s="9" t="n">
        <v>-0.2088829000991126</v>
      </c>
      <c r="T31" s="9" t="n">
        <v>3841915167351.422</v>
      </c>
      <c r="U31" s="9" t="n">
        <v>0.1575752388765622</v>
      </c>
      <c r="V31" s="9" t="n">
        <v>0.07750777313158511</v>
      </c>
      <c r="W31" s="9" t="n">
        <v>-1.777777777777778</v>
      </c>
      <c r="X31" s="9" t="n">
        <v>14.68725067147562</v>
      </c>
      <c r="Y31" s="9" t="n">
        <v>2.27784685315688</v>
      </c>
      <c r="Z31" s="9" t="n">
        <v>18.69318067304338</v>
      </c>
      <c r="AA31" s="9" t="n">
        <v>11.20050519496889</v>
      </c>
      <c r="AB31" s="9" t="n">
        <v>11.77701770963381</v>
      </c>
      <c r="AC31" s="9" t="n">
        <v>4.596367763061717</v>
      </c>
      <c r="AD31" s="9" t="n">
        <v>5.081184143506107</v>
      </c>
      <c r="AE31" s="9" t="n">
        <v>5.344997453699762</v>
      </c>
      <c r="AF31" s="9" t="n">
        <v>5.344997453699762</v>
      </c>
      <c r="AG31" s="9" t="n">
        <v>12399.63948414351</v>
      </c>
      <c r="AH31" s="8" t="inlineStr">
        <is>
          <t>Strong (6.0-6.9)</t>
        </is>
      </c>
    </row>
    <row r="32">
      <c r="A32" s="8" t="inlineStr">
        <is>
          <t>2010-09-06 03:08:53.110</t>
        </is>
      </c>
      <c r="B32" s="8" t="n">
        <v>2010</v>
      </c>
      <c r="C32" s="9" t="n">
        <v>6.04</v>
      </c>
      <c r="D32" s="9" t="n">
        <v>126.094</v>
      </c>
      <c r="E32" s="8" t="n">
        <v>42</v>
      </c>
      <c r="F32" s="9" t="n">
        <v>5.1</v>
      </c>
      <c r="G32" s="9" t="n">
        <v>5</v>
      </c>
      <c r="H32" s="9" t="n">
        <v>4.8</v>
      </c>
      <c r="I32" s="9" t="n">
        <v>4.380000000000001</v>
      </c>
      <c r="J32" s="9" t="n">
        <v>0.9148919759478504</v>
      </c>
      <c r="K32" s="9" t="n">
        <v>4.407502999692032</v>
      </c>
      <c r="L32" s="9" t="n">
        <v>0.2881319924771563</v>
      </c>
      <c r="M32" s="9" t="n">
        <v>0.0807435107643063</v>
      </c>
      <c r="N32" s="9" t="n">
        <v>0.9650988486738924</v>
      </c>
      <c r="O32" s="9" t="n">
        <v>4.530536419150011</v>
      </c>
      <c r="P32" s="9" t="n">
        <v>0.320623566126931</v>
      </c>
      <c r="Q32" s="9" t="n">
        <v>0.1201964439409091</v>
      </c>
      <c r="R32" s="9" t="n">
        <v>-0.0175119200556448</v>
      </c>
      <c r="S32" s="9" t="n">
        <v>0.1056244700993502</v>
      </c>
      <c r="T32" s="9" t="n">
        <v>27387507047.22071</v>
      </c>
      <c r="U32" s="9" t="n">
        <v>0.0018002137402393</v>
      </c>
      <c r="V32" s="9" t="n">
        <v>0.0012726338013398</v>
      </c>
      <c r="W32" s="9" t="n">
        <v>-0.3464101615137754</v>
      </c>
      <c r="X32" s="9" t="n">
        <v>1.773522637865638</v>
      </c>
      <c r="Y32" s="9" t="n">
        <v>4.765306654661821</v>
      </c>
      <c r="Z32" s="9" t="n">
        <v>53.07813265073999</v>
      </c>
      <c r="AA32" s="9" t="n">
        <v>37.6874842819773</v>
      </c>
      <c r="AB32" s="9" t="n">
        <v>51.05327041099559</v>
      </c>
      <c r="AC32" s="9" t="n">
        <v>-4.251299095657538</v>
      </c>
      <c r="AD32" s="9" t="n">
        <v>619.9919354166705</v>
      </c>
      <c r="AE32" s="9" t="n">
        <v>4386.771751273147</v>
      </c>
      <c r="AF32" s="9" t="n">
        <v>4386.771751273147</v>
      </c>
      <c r="AG32" s="9" t="n">
        <v>14622.594103125</v>
      </c>
      <c r="AH32" s="8" t="inlineStr">
        <is>
          <t>Moderate (5.0-5.9)</t>
        </is>
      </c>
    </row>
    <row r="33">
      <c r="A33" s="8" t="inlineStr">
        <is>
          <t>2010-09-14 07:33:22.670</t>
        </is>
      </c>
      <c r="B33" s="8" t="n">
        <v>2010</v>
      </c>
      <c r="C33" s="9" t="n">
        <v>5.324</v>
      </c>
      <c r="D33" s="9" t="n">
        <v>124.46</v>
      </c>
      <c r="E33" s="8" t="n">
        <v>32</v>
      </c>
      <c r="F33" s="9" t="n">
        <v>5.2</v>
      </c>
      <c r="G33" s="9" t="n">
        <v>3</v>
      </c>
      <c r="H33" s="9" t="n">
        <v>5</v>
      </c>
      <c r="I33" s="9" t="n">
        <v>4.4</v>
      </c>
      <c r="J33" s="9" t="n">
        <v>0.4084378402951077</v>
      </c>
      <c r="K33" s="9" t="n">
        <v>1.936077667332313</v>
      </c>
      <c r="L33" s="9" t="n">
        <v>0.1172190416866986</v>
      </c>
      <c r="M33" s="9" t="n">
        <v>0.1093176750969968</v>
      </c>
      <c r="N33" s="9" t="n">
        <v>0.9650988486738944</v>
      </c>
      <c r="O33" s="9" t="n">
        <v>4.337516649415241</v>
      </c>
      <c r="P33" s="9" t="n">
        <v>0.6544701137687373</v>
      </c>
      <c r="Q33" s="9" t="n">
        <v>0.2404740923710875</v>
      </c>
      <c r="R33" s="9" t="n">
        <v>0.2597984899404926</v>
      </c>
      <c r="S33" s="9" t="n">
        <v>0.5056244700993515</v>
      </c>
      <c r="T33" s="9" t="n">
        <v>32436965601.01795</v>
      </c>
      <c r="U33" s="9" t="n">
        <v>0.0595232285132296</v>
      </c>
      <c r="V33" s="9" t="n">
        <v>0.0012726338013397</v>
      </c>
      <c r="W33" s="9" t="n">
        <v>-1</v>
      </c>
      <c r="X33" s="9" t="n">
        <v>7.410849195313975</v>
      </c>
      <c r="Y33" s="9" t="n">
        <v>11.8810320751676</v>
      </c>
      <c r="Z33" s="9" t="n">
        <v>29.09618093399847</v>
      </c>
      <c r="AA33" s="9" t="n">
        <v>15.2027535726378</v>
      </c>
      <c r="AB33" s="9" t="n">
        <v>14.02975508839556</v>
      </c>
      <c r="AC33" s="9" t="n">
        <v>49.82148832289657</v>
      </c>
      <c r="AD33" s="9" t="n">
        <v>3114.428628587964</v>
      </c>
      <c r="AE33" s="9" t="n">
        <v>3114.428628587964</v>
      </c>
      <c r="AF33" s="9" t="n">
        <v>29853.83067905093</v>
      </c>
      <c r="AG33" s="9" t="n">
        <v>43535.17270833333</v>
      </c>
      <c r="AH33" s="8" t="inlineStr">
        <is>
          <t>Moderate (5.0-5.9)</t>
        </is>
      </c>
    </row>
    <row r="34">
      <c r="A34" s="8" t="inlineStr">
        <is>
          <t>2010-09-14 13:08:54.390</t>
        </is>
      </c>
      <c r="B34" s="8" t="n">
        <v>2010</v>
      </c>
      <c r="C34" s="9" t="n">
        <v>5.497</v>
      </c>
      <c r="D34" s="9" t="n">
        <v>124.46</v>
      </c>
      <c r="E34" s="8" t="n">
        <v>25</v>
      </c>
      <c r="F34" s="9" t="n">
        <v>5.1</v>
      </c>
      <c r="G34" s="9" t="n">
        <v>4</v>
      </c>
      <c r="H34" s="9" t="n">
        <v>5.2</v>
      </c>
      <c r="I34" s="9" t="n">
        <v>4.6</v>
      </c>
      <c r="J34" s="9" t="n">
        <v>0.3682599592191655</v>
      </c>
      <c r="K34" s="9" t="n">
        <v>1.998960617491172</v>
      </c>
      <c r="L34" s="9" t="n">
        <v>0.09182541168265609</v>
      </c>
      <c r="M34" s="9" t="n">
        <v>0.085074545207033</v>
      </c>
      <c r="N34" s="9" t="n">
        <v>0.6681453567742341</v>
      </c>
      <c r="O34" s="9" t="n">
        <v>3.274641418424899</v>
      </c>
      <c r="P34" s="9" t="n">
        <v>0.3022705191777023</v>
      </c>
      <c r="Q34" s="9" t="n">
        <v>0.1804100012114621</v>
      </c>
      <c r="R34" s="9" t="n">
        <v>-0.2281237138287792</v>
      </c>
      <c r="S34" s="9" t="n">
        <v>0.298908665272072</v>
      </c>
      <c r="T34" s="9" t="n">
        <v>57818893020.96149</v>
      </c>
      <c r="U34" s="9" t="n">
        <v>0.0785633732504314</v>
      </c>
      <c r="V34" s="9" t="n">
        <v>0.0098983756072038</v>
      </c>
      <c r="W34" s="9" t="n">
        <v>-1.333333333333333</v>
      </c>
      <c r="X34" s="9" t="n">
        <v>8.01355519627422</v>
      </c>
      <c r="Y34" s="9" t="n">
        <v>11.8810320751676</v>
      </c>
      <c r="Z34" s="9" t="n">
        <v>26.3912949580771</v>
      </c>
      <c r="AA34" s="9" t="n">
        <v>13.54060966246271</v>
      </c>
      <c r="AB34" s="9" t="n">
        <v>16.7720515529817</v>
      </c>
      <c r="AC34" s="9" t="n">
        <v>-4.307826257650591</v>
      </c>
      <c r="AD34" s="9" t="n">
        <v>3114.661634606484</v>
      </c>
      <c r="AE34" s="9" t="n">
        <v>3114.661634606484</v>
      </c>
      <c r="AF34" s="9" t="n">
        <v>12446.87350104167</v>
      </c>
      <c r="AG34" s="9" t="n">
        <v>12446.87350104167</v>
      </c>
      <c r="AH34" s="8" t="inlineStr">
        <is>
          <t>Moderate (5.0-5.9)</t>
        </is>
      </c>
    </row>
    <row r="35">
      <c r="A35" s="8" t="inlineStr">
        <is>
          <t>2010-10-04 01:38:28.860</t>
        </is>
      </c>
      <c r="B35" s="8" t="n">
        <v>2010</v>
      </c>
      <c r="C35" s="9" t="n">
        <v>19.222</v>
      </c>
      <c r="D35" s="9" t="n">
        <v>122.023</v>
      </c>
      <c r="E35" s="8" t="n">
        <v>14</v>
      </c>
      <c r="F35" s="9" t="n">
        <v>5.8</v>
      </c>
      <c r="G35" s="9" t="n">
        <v>4</v>
      </c>
      <c r="H35" s="9" t="n">
        <v>5.6</v>
      </c>
      <c r="I35" s="9" t="n">
        <v>4.625</v>
      </c>
      <c r="J35" s="9" t="n">
        <v>0.3807477004151722</v>
      </c>
      <c r="K35" s="9" t="n">
        <v>2.007674401939132</v>
      </c>
      <c r="L35" s="9" t="n">
        <v>0.1189603958062141</v>
      </c>
      <c r="M35" s="9" t="n">
        <v>0.0894654755509882</v>
      </c>
      <c r="N35" s="9" t="n">
        <v>0.6433992324492621</v>
      </c>
      <c r="O35" s="9" t="n">
        <v>3.175656921125011</v>
      </c>
      <c r="P35" s="9" t="n">
        <v>0.3396948004597259</v>
      </c>
      <c r="Q35" s="9" t="n">
        <v>0.1863723742513506</v>
      </c>
      <c r="R35" s="9" t="n">
        <v>0.3270215952717814</v>
      </c>
      <c r="S35" s="9" t="n">
        <v>0.6642513062440738</v>
      </c>
      <c r="T35" s="9" t="n">
        <v>111189946640.3702</v>
      </c>
      <c r="U35" s="9" t="n">
        <v>0.0720703944072224</v>
      </c>
      <c r="V35" s="9" t="n">
        <v>0.0117436284570213</v>
      </c>
      <c r="W35" s="9" t="n">
        <v>-0.8660254037844386</v>
      </c>
      <c r="X35" s="9" t="n">
        <v>4.604121834248581</v>
      </c>
      <c r="Y35" s="9" t="n">
        <v>8.43462613351376</v>
      </c>
      <c r="Z35" s="9" t="n">
        <v>23.81516154424169</v>
      </c>
      <c r="AA35" s="9" t="n">
        <v>12.13757681013601</v>
      </c>
      <c r="AB35" s="9" t="n">
        <v>9.71351556385155</v>
      </c>
      <c r="AC35" s="9" t="n">
        <v>-1.115604623340294</v>
      </c>
      <c r="AD35" s="9" t="n">
        <v>6347.638109490745</v>
      </c>
      <c r="AE35" s="9" t="n">
        <v>43535.17270833333</v>
      </c>
      <c r="AF35" s="9" t="n">
        <v>43535.17270833333</v>
      </c>
      <c r="AG35" s="9" t="n">
        <v>43535.17270833333</v>
      </c>
      <c r="AH35" s="8" t="inlineStr">
        <is>
          <t>Moderate (5.0-5.9)</t>
        </is>
      </c>
    </row>
    <row r="36">
      <c r="A36" s="8" t="inlineStr">
        <is>
          <t>2010-12-18 05:06:24.540</t>
        </is>
      </c>
      <c r="B36" s="8" t="n">
        <v>2010</v>
      </c>
      <c r="C36" s="9" t="n">
        <v>10.368</v>
      </c>
      <c r="D36" s="9" t="n">
        <v>126.289</v>
      </c>
      <c r="E36" s="8" t="n">
        <v>14</v>
      </c>
      <c r="F36" s="9" t="n">
        <v>5.6</v>
      </c>
      <c r="G36" s="9" t="n">
        <v>3</v>
      </c>
      <c r="H36" s="9" t="n">
        <v>5</v>
      </c>
      <c r="I36" s="9" t="n">
        <v>4.533333333333333</v>
      </c>
      <c r="J36" s="9" t="n">
        <v>0.5521558317030709</v>
      </c>
      <c r="K36" s="9" t="n">
        <v>2.680433157986533</v>
      </c>
      <c r="L36" s="9" t="n">
        <v>0.1825554595623905</v>
      </c>
      <c r="M36" s="9" t="n">
        <v>0.0788394736782782</v>
      </c>
      <c r="N36" s="9" t="n">
        <v>0.8985403073860382</v>
      </c>
      <c r="O36" s="9" t="n">
        <v>4.161136515002418</v>
      </c>
      <c r="P36" s="9" t="n">
        <v>0.4834445029086524</v>
      </c>
      <c r="Q36" s="9" t="n">
        <v>0.1593451099371557</v>
      </c>
      <c r="R36" s="9" t="n">
        <v>0.1455132698336312</v>
      </c>
      <c r="S36" s="9" t="n">
        <v>0.3690040604770805</v>
      </c>
      <c r="T36" s="9" t="n">
        <v>33909893399.5613</v>
      </c>
      <c r="U36" s="9" t="n">
        <v>0.0220562921114435</v>
      </c>
      <c r="V36" s="9" t="n">
        <v>0.002015482714507</v>
      </c>
      <c r="W36" s="9" t="n">
        <v>-1.441153384245784</v>
      </c>
      <c r="X36" s="9" t="n">
        <v>2.299312497411129</v>
      </c>
      <c r="Y36" s="9" t="n">
        <v>17.2487571032904</v>
      </c>
      <c r="Z36" s="9" t="n">
        <v>32.00239535970487</v>
      </c>
      <c r="AA36" s="9" t="n">
        <v>14.16050775992242</v>
      </c>
      <c r="AB36" s="9" t="n">
        <v>31.38946004277893</v>
      </c>
      <c r="AC36" s="9" t="n">
        <v>18.44526282885268</v>
      </c>
      <c r="AD36" s="9" t="n">
        <v>4132.153981944459</v>
      </c>
      <c r="AE36" s="9" t="n">
        <v>4820.69189861112</v>
      </c>
      <c r="AF36" s="9" t="n">
        <v>21457.75645300926</v>
      </c>
      <c r="AG36" s="9" t="n">
        <v>21457.75645300926</v>
      </c>
      <c r="AH36" s="8" t="inlineStr">
        <is>
          <t>Moderate (5.0-5.9)</t>
        </is>
      </c>
    </row>
    <row r="37">
      <c r="A37" s="8" t="inlineStr">
        <is>
          <t>2010-12-18 06:11:50.250</t>
        </is>
      </c>
      <c r="B37" s="8" t="n">
        <v>2010</v>
      </c>
      <c r="C37" s="9" t="n">
        <v>10.37</v>
      </c>
      <c r="D37" s="9" t="n">
        <v>126.288</v>
      </c>
      <c r="E37" s="8" t="n">
        <v>11</v>
      </c>
      <c r="F37" s="9" t="n">
        <v>5</v>
      </c>
      <c r="G37" s="9" t="n">
        <v>7</v>
      </c>
      <c r="H37" s="9" t="n">
        <v>5.6</v>
      </c>
      <c r="I37" s="9" t="n">
        <v>4.642857142857143</v>
      </c>
      <c r="J37" s="9" t="n">
        <v>0.4378618118748811</v>
      </c>
      <c r="K37" s="9" t="n">
        <v>2.37540032942123</v>
      </c>
      <c r="L37" s="9" t="n">
        <v>0.08545015349690829</v>
      </c>
      <c r="M37" s="9" t="n">
        <v>0.0811817526695866</v>
      </c>
      <c r="N37" s="9" t="n">
        <v>0.6681453567742341</v>
      </c>
      <c r="O37" s="9" t="n">
        <v>3.441313172502882</v>
      </c>
      <c r="P37" s="9" t="n">
        <v>0.1989668007413708</v>
      </c>
      <c r="Q37" s="9" t="n">
        <v>0.1642897568456027</v>
      </c>
      <c r="R37" s="9" t="n">
        <v>0.1750000000000007</v>
      </c>
      <c r="S37" s="9" t="n">
        <v>0.4494543326360354</v>
      </c>
      <c r="T37" s="9" t="n">
        <v>116298201340.3321</v>
      </c>
      <c r="U37" s="9" t="n">
        <v>0.0485751963053414</v>
      </c>
      <c r="V37" s="9" t="n">
        <v>0.0098983756072038</v>
      </c>
      <c r="W37" s="9" t="n">
        <v>-1.381698559415515</v>
      </c>
      <c r="X37" s="9" t="n">
        <v>5.976665786560063</v>
      </c>
      <c r="Y37" s="9" t="n">
        <v>17.2487571032904</v>
      </c>
      <c r="Z37" s="9" t="n">
        <v>33.38374956293659</v>
      </c>
      <c r="AA37" s="9" t="n">
        <v>10.79443910054651</v>
      </c>
      <c r="AB37" s="9" t="n">
        <v>44.26890791106296</v>
      </c>
      <c r="AC37" s="9" t="n">
        <v>7.208104854183468</v>
      </c>
      <c r="AD37" s="9" t="n">
        <v>4132.199418402786</v>
      </c>
      <c r="AE37" s="9" t="n">
        <v>4820.737335069447</v>
      </c>
      <c r="AF37" s="9" t="n">
        <v>21457.80188946759</v>
      </c>
      <c r="AG37" s="9" t="n">
        <v>21457.80188946759</v>
      </c>
      <c r="AH37" s="8" t="inlineStr">
        <is>
          <t>Moderate (5.0-5.9)</t>
        </is>
      </c>
    </row>
    <row r="38">
      <c r="A38" s="8" t="inlineStr">
        <is>
          <t>2010-12-30 16:56:10.620</t>
        </is>
      </c>
      <c r="B38" s="8" t="n">
        <v>2010</v>
      </c>
      <c r="C38" s="9" t="n">
        <v>9.986000000000001</v>
      </c>
      <c r="D38" s="9" t="n">
        <v>126.354</v>
      </c>
      <c r="E38" s="8" t="n">
        <v>4</v>
      </c>
      <c r="F38" s="9" t="n">
        <v>5.1</v>
      </c>
      <c r="G38" s="9" t="n">
        <v>14</v>
      </c>
      <c r="H38" s="9" t="n">
        <v>5.6</v>
      </c>
      <c r="I38" s="9" t="n">
        <v>4.528571428571428</v>
      </c>
      <c r="J38" s="9" t="n">
        <v>0.8567361210205185</v>
      </c>
      <c r="K38" s="9" t="n">
        <v>4.632801661549273</v>
      </c>
      <c r="L38" s="9" t="n">
        <v>0.1958135252517263</v>
      </c>
      <c r="M38" s="9" t="n">
        <v>0.1188507507783989</v>
      </c>
      <c r="N38" s="9" t="n">
        <v>0.992673101493149</v>
      </c>
      <c r="O38" s="9" t="n">
        <v>5.2708516335618</v>
      </c>
      <c r="P38" s="9" t="n">
        <v>0.2628821140947378</v>
      </c>
      <c r="Q38" s="9" t="n">
        <v>0.1262972798063706</v>
      </c>
      <c r="R38" s="9" t="n">
        <v>0.192498731078575</v>
      </c>
      <c r="S38" s="9" t="n">
        <v>0.290244325515073</v>
      </c>
      <c r="T38" s="9" t="n">
        <v>123100794911.3558</v>
      </c>
      <c r="U38" s="9" t="n">
        <v>0.0026902437860935</v>
      </c>
      <c r="V38" s="9" t="n">
        <v>0.0010519151149398</v>
      </c>
      <c r="W38" s="9" t="n">
        <v>2.366431913239846</v>
      </c>
      <c r="X38" s="9" t="n">
        <v>10.42547271870346</v>
      </c>
      <c r="Y38" s="9" t="n">
        <v>16.390558027272</v>
      </c>
      <c r="Z38" s="9" t="n">
        <v>40.62398037410379</v>
      </c>
      <c r="AA38" s="9" t="n">
        <v>17.04837234201214</v>
      </c>
      <c r="AB38" s="9" t="n">
        <v>44.23589524012159</v>
      </c>
      <c r="AC38" s="9" t="n">
        <v>5.988091119830992</v>
      </c>
      <c r="AD38" s="9" t="n">
        <v>4144.646876388899</v>
      </c>
      <c r="AE38" s="9" t="n">
        <v>4833.18479305556</v>
      </c>
      <c r="AF38" s="9" t="n">
        <v>21470.2493474537</v>
      </c>
      <c r="AG38" s="9" t="n">
        <v>21470.2493474537</v>
      </c>
      <c r="AH38" s="8" t="inlineStr">
        <is>
          <t>Moderate (5.0-5.9)</t>
        </is>
      </c>
    </row>
    <row r="39">
      <c r="A39" s="8" t="inlineStr">
        <is>
          <t>2011-03-03 12:52:07.960</t>
        </is>
      </c>
      <c r="B39" s="8" t="n">
        <v>2011</v>
      </c>
      <c r="C39" s="9" t="n">
        <v>4.57</v>
      </c>
      <c r="D39" s="9" t="n">
        <v>126.69</v>
      </c>
      <c r="E39" s="8" t="n">
        <v>60</v>
      </c>
      <c r="F39" s="9" t="n">
        <v>5.6</v>
      </c>
      <c r="G39" s="9" t="n">
        <v>3</v>
      </c>
      <c r="H39" s="9" t="n">
        <v>4.7</v>
      </c>
      <c r="I39" s="9" t="n">
        <v>4.466666666666668</v>
      </c>
      <c r="J39" s="9" t="n">
        <v>1.255272505103308</v>
      </c>
      <c r="K39" s="9" t="n">
        <v>5.804356523041614</v>
      </c>
      <c r="L39" s="9" t="n">
        <v>0.4355663194183833</v>
      </c>
      <c r="M39" s="9" t="n">
        <v>0.09948488590379299</v>
      </c>
      <c r="N39" s="9" t="n">
        <v>2.004436070322692</v>
      </c>
      <c r="O39" s="9" t="n">
        <v>9.096196357107235</v>
      </c>
      <c r="P39" s="9" t="n">
        <v>1.11061280440728</v>
      </c>
      <c r="Q39" s="9" t="n">
        <v>0.1829808759357589</v>
      </c>
      <c r="R39" s="9" t="n">
        <v>0.07601875334318819</v>
      </c>
      <c r="S39" s="9" t="n">
        <v>0.1619673374552421</v>
      </c>
      <c r="T39" s="9" t="n">
        <v>20652690255.96162</v>
      </c>
      <c r="U39" s="9" t="n">
        <v>0.0001714677640603</v>
      </c>
      <c r="V39" s="9" t="n">
        <v>9.698214581499057e-07</v>
      </c>
      <c r="W39" s="9" t="n">
        <v>-0.6123724356957945</v>
      </c>
      <c r="X39" s="9" t="n">
        <v>1.82516716386822</v>
      </c>
      <c r="Y39" s="9" t="n">
        <v>159.453306014135</v>
      </c>
      <c r="Z39" s="9" t="n">
        <v>169.2635451877337</v>
      </c>
      <c r="AA39" s="9" t="n">
        <v>9.489399446761745</v>
      </c>
      <c r="AB39" s="9" t="n">
        <v>165.2786823327855</v>
      </c>
      <c r="AC39" s="9" t="n">
        <v>1.696113995145522</v>
      </c>
      <c r="AD39" s="9" t="n">
        <v>459.7790391203816</v>
      </c>
      <c r="AE39" s="9" t="n">
        <v>749.8036453703753</v>
      </c>
      <c r="AF39" s="9" t="n">
        <v>749.8036453703753</v>
      </c>
      <c r="AG39" s="9" t="n">
        <v>749.8036453703753</v>
      </c>
      <c r="AH39" s="8" t="inlineStr">
        <is>
          <t>Moderate (5.0-5.9)</t>
        </is>
      </c>
    </row>
    <row r="40">
      <c r="A40" s="8" t="inlineStr">
        <is>
          <t>2011-03-09 14:52:07.980</t>
        </is>
      </c>
      <c r="B40" s="8" t="n">
        <v>2011</v>
      </c>
      <c r="C40" s="9" t="n">
        <v>4.769</v>
      </c>
      <c r="D40" s="9" t="n">
        <v>126.46</v>
      </c>
      <c r="E40" s="8" t="n">
        <v>47</v>
      </c>
      <c r="F40" s="9" t="n">
        <v>5.5</v>
      </c>
      <c r="G40" s="9" t="n">
        <v>3</v>
      </c>
      <c r="H40" s="9" t="n">
        <v>5.6</v>
      </c>
      <c r="I40" s="9" t="n">
        <v>4.9</v>
      </c>
      <c r="J40" s="9" t="n">
        <v>0.3557740371585578</v>
      </c>
      <c r="K40" s="9" t="n">
        <v>1.885040281309066</v>
      </c>
      <c r="L40" s="9" t="n">
        <v>0.1049658473777861</v>
      </c>
      <c r="M40" s="9" t="n">
        <v>0.1010766647851907</v>
      </c>
      <c r="N40" s="9" t="n">
        <v>0.7896263307331853</v>
      </c>
      <c r="O40" s="9" t="n">
        <v>3.951477109945679</v>
      </c>
      <c r="P40" s="9" t="n">
        <v>0.5170621596276364</v>
      </c>
      <c r="Q40" s="9" t="n">
        <v>0.2240945315072583</v>
      </c>
      <c r="R40" s="9" t="n">
        <v>0.3015799793480695</v>
      </c>
      <c r="S40" s="9" t="n">
        <v>0.5957632412325387</v>
      </c>
      <c r="T40" s="9" t="n">
        <v>111329348662.4123</v>
      </c>
      <c r="U40" s="9" t="n">
        <v>0.0856402425288702</v>
      </c>
      <c r="V40" s="9" t="n">
        <v>0.0042768203492089</v>
      </c>
      <c r="W40" s="9" t="n">
        <v>0.6123724356957945</v>
      </c>
      <c r="X40" s="9" t="n">
        <v>1.514375637926514</v>
      </c>
      <c r="Y40" s="9" t="n">
        <v>138.396608999067</v>
      </c>
      <c r="Z40" s="9" t="n">
        <v>158.748549400624</v>
      </c>
      <c r="AA40" s="9" t="n">
        <v>20.00887291670966</v>
      </c>
      <c r="AB40" s="9" t="n">
        <v>139.8812726774739</v>
      </c>
      <c r="AC40" s="9" t="n">
        <v>-3.551825168251363</v>
      </c>
      <c r="AD40" s="9" t="n">
        <v>465.8623726851947</v>
      </c>
      <c r="AE40" s="9" t="n">
        <v>4571.260117824073</v>
      </c>
      <c r="AF40" s="9" t="n">
        <v>4571.260117824073</v>
      </c>
      <c r="AG40" s="9" t="n">
        <v>27370.52960625</v>
      </c>
      <c r="AH40" s="8" t="inlineStr">
        <is>
          <t>Moderate (5.0-5.9)</t>
        </is>
      </c>
    </row>
    <row r="41">
      <c r="A41" s="8" t="inlineStr">
        <is>
          <t>2011-07-11 20:47:03.270</t>
        </is>
      </c>
      <c r="B41" s="8" t="n">
        <v>2011</v>
      </c>
      <c r="C41" s="9" t="n">
        <v>9.506</v>
      </c>
      <c r="D41" s="9" t="n">
        <v>122.023</v>
      </c>
      <c r="E41" s="8" t="n">
        <v>4</v>
      </c>
      <c r="F41" s="9" t="n">
        <v>6.2</v>
      </c>
      <c r="G41" s="9" t="n">
        <v>3</v>
      </c>
      <c r="H41" s="9" t="n">
        <v>5.2</v>
      </c>
      <c r="I41" s="9" t="n">
        <v>4.833333333333333</v>
      </c>
      <c r="J41" s="9" t="n">
        <v>0.7201331838111292</v>
      </c>
      <c r="K41" s="9" t="n">
        <v>3.665172346697928</v>
      </c>
      <c r="L41" s="9" t="n">
        <v>0.2418427601309246</v>
      </c>
      <c r="M41" s="9" t="n">
        <v>0.0788945277718013</v>
      </c>
      <c r="N41" s="9" t="n">
        <v>1.132942126704137</v>
      </c>
      <c r="O41" s="9" t="n">
        <v>5.575360824888278</v>
      </c>
      <c r="P41" s="9" t="n">
        <v>0.5985809547955873</v>
      </c>
      <c r="Q41" s="9" t="n">
        <v>0.1615811775198866</v>
      </c>
      <c r="R41" s="9" t="n">
        <v>0.11042430887451</v>
      </c>
      <c r="S41" s="9" t="n">
        <v>0.2788652893438916</v>
      </c>
      <c r="T41" s="9" t="n">
        <v>53416065244.33788</v>
      </c>
      <c r="U41" s="9" t="n">
        <v>0.0069119477830705</v>
      </c>
      <c r="V41" s="9" t="n">
        <v>0.0003991844542591</v>
      </c>
      <c r="W41" s="9" t="n">
        <v>-1</v>
      </c>
      <c r="X41" s="9" t="n">
        <v>8.672617004934883</v>
      </c>
      <c r="Y41" s="9" t="n">
        <v>22.252694523652</v>
      </c>
      <c r="Z41" s="9" t="n">
        <v>24.97192312273389</v>
      </c>
      <c r="AA41" s="9" t="n">
        <v>2.373167575201886</v>
      </c>
      <c r="AB41" s="9" t="n">
        <v>25.76673145929123</v>
      </c>
      <c r="AC41" s="9" t="n">
        <v>-80.51356647987384</v>
      </c>
      <c r="AD41" s="9" t="n">
        <v>17895.71878784722</v>
      </c>
      <c r="AE41" s="9" t="n">
        <v>43535.17270833333</v>
      </c>
      <c r="AF41" s="9" t="n">
        <v>43535.17270833333</v>
      </c>
      <c r="AG41" s="9" t="n">
        <v>43535.17270833333</v>
      </c>
      <c r="AH41" s="8" t="inlineStr">
        <is>
          <t>Strong (6.0-6.9)</t>
        </is>
      </c>
    </row>
    <row r="42">
      <c r="A42" s="8" t="inlineStr">
        <is>
          <t>2011-07-11 21:03:22.870</t>
        </is>
      </c>
      <c r="B42" s="8" t="n">
        <v>2011</v>
      </c>
      <c r="C42" s="9" t="n">
        <v>9.693</v>
      </c>
      <c r="D42" s="9" t="n">
        <v>122.566</v>
      </c>
      <c r="E42" s="8" t="n">
        <v>101</v>
      </c>
      <c r="F42" s="9" t="n">
        <v>5.7</v>
      </c>
      <c r="G42" s="9" t="n">
        <v>4</v>
      </c>
      <c r="H42" s="9" t="n">
        <v>6.2</v>
      </c>
      <c r="I42" s="9" t="n">
        <v>5.175</v>
      </c>
      <c r="J42" s="9" t="n">
        <v>0.3722132990978094</v>
      </c>
      <c r="K42" s="9" t="n">
        <v>2.171204691181217</v>
      </c>
      <c r="L42" s="9" t="n">
        <v>0.118068405248986</v>
      </c>
      <c r="M42" s="9" t="n">
        <v>0.0952800470126741</v>
      </c>
      <c r="N42" s="9" t="n">
        <v>0.5990268715906925</v>
      </c>
      <c r="O42" s="9" t="n">
        <v>3.297680913486079</v>
      </c>
      <c r="P42" s="9" t="n">
        <v>0.3058035579989757</v>
      </c>
      <c r="Q42" s="9" t="n">
        <v>0.1781848102276733</v>
      </c>
      <c r="R42" s="9" t="n">
        <v>0.3667729324989208</v>
      </c>
      <c r="S42" s="9" t="n">
        <v>0.6949365881880798</v>
      </c>
      <c r="T42" s="9" t="n">
        <v>383923499021.329</v>
      </c>
      <c r="U42" s="9" t="n">
        <v>0.0764469393745702</v>
      </c>
      <c r="V42" s="9" t="n">
        <v>0.0159558294385509</v>
      </c>
      <c r="W42" s="9" t="n">
        <v>-1.333333333333333</v>
      </c>
      <c r="X42" s="9" t="n">
        <v>8.867725110565202</v>
      </c>
      <c r="Y42" s="9" t="n">
        <v>15.1815560155269</v>
      </c>
      <c r="Z42" s="9" t="n">
        <v>22.52433134593215</v>
      </c>
      <c r="AA42" s="9" t="n">
        <v>5.264735344737655</v>
      </c>
      <c r="AB42" s="9" t="n">
        <v>15.61196032257758</v>
      </c>
      <c r="AC42" s="9" t="n">
        <v>-8.544269881720759</v>
      </c>
      <c r="AD42" s="9" t="n">
        <v>0.0113379629692644</v>
      </c>
      <c r="AE42" s="9" t="n">
        <v>31478.45644525464</v>
      </c>
      <c r="AF42" s="9" t="n">
        <v>43535.17270833333</v>
      </c>
      <c r="AG42" s="9" t="n">
        <v>43535.17270833333</v>
      </c>
      <c r="AH42" s="8" t="inlineStr">
        <is>
          <t>Moderate (5.0-5.9)</t>
        </is>
      </c>
    </row>
    <row r="43">
      <c r="A43" s="8" t="inlineStr">
        <is>
          <t>2012-02-01 04:30:49.360</t>
        </is>
      </c>
      <c r="B43" s="8" t="n">
        <v>2012</v>
      </c>
      <c r="C43" s="9" t="n">
        <v>11.733</v>
      </c>
      <c r="D43" s="9" t="n">
        <v>125.739</v>
      </c>
      <c r="E43" s="8" t="n">
        <v>21</v>
      </c>
      <c r="F43" s="9" t="n">
        <v>5</v>
      </c>
      <c r="G43" s="9" t="n">
        <v>4</v>
      </c>
      <c r="H43" s="9" t="n">
        <v>4.5</v>
      </c>
      <c r="I43" s="9" t="n">
        <v>4.35</v>
      </c>
      <c r="J43" s="9" t="n">
        <v>0.7781512503836426</v>
      </c>
      <c r="K43" s="9" t="n">
        <v>3.777722875068713</v>
      </c>
      <c r="L43" s="9" t="n">
        <v>0.1333403512590742</v>
      </c>
      <c r="M43" s="9" t="n">
        <v>0.0410672218538795</v>
      </c>
      <c r="N43" s="9" t="n">
        <v>1.44764827301084</v>
      </c>
      <c r="O43" s="9" t="n">
        <v>6.537417910672406</v>
      </c>
      <c r="P43" s="9" t="n">
        <v>0.4614872095392696</v>
      </c>
      <c r="Q43" s="9" t="n">
        <v>0.1694106383094485</v>
      </c>
      <c r="R43" s="9" t="n">
        <v>-0.3547411228938166</v>
      </c>
      <c r="S43" s="9" t="n">
        <v>-0.0158883083359659</v>
      </c>
      <c r="T43" s="9" t="n">
        <v>18185914850.09186</v>
      </c>
      <c r="U43" s="9" t="n">
        <v>0.0046296296296296</v>
      </c>
      <c r="V43" s="9" t="n">
        <v>4.539992976248456e-05</v>
      </c>
      <c r="W43" s="9" t="n">
        <v>0</v>
      </c>
      <c r="X43" s="9" t="n">
        <v>5.056402083373166</v>
      </c>
      <c r="Y43" s="9" t="n">
        <v>9.468382168192113</v>
      </c>
      <c r="Z43" s="9" t="n">
        <v>28.85260350232933</v>
      </c>
      <c r="AA43" s="9" t="n">
        <v>17.17584723931306</v>
      </c>
      <c r="AB43" s="9" t="n">
        <v>23.68727983294568</v>
      </c>
      <c r="AC43" s="9" t="n">
        <v>1.358560621579667</v>
      </c>
      <c r="AD43" s="9" t="n">
        <v>2996.469748958334</v>
      </c>
      <c r="AE43" s="9" t="n">
        <v>2996.469748958334</v>
      </c>
      <c r="AF43" s="9" t="n">
        <v>6130.1639</v>
      </c>
      <c r="AG43" s="9" t="n">
        <v>43535.17270833333</v>
      </c>
      <c r="AH43" s="8" t="inlineStr">
        <is>
          <t>Moderate (5.0-5.9)</t>
        </is>
      </c>
    </row>
    <row r="44">
      <c r="A44" s="8" t="inlineStr">
        <is>
          <t>2012-02-04 13:09:20.960</t>
        </is>
      </c>
      <c r="B44" s="8" t="n">
        <v>2012</v>
      </c>
      <c r="C44" s="9" t="n">
        <v>12.101</v>
      </c>
      <c r="D44" s="9" t="n">
        <v>126.16</v>
      </c>
      <c r="E44" s="8" t="n">
        <v>19</v>
      </c>
      <c r="F44" s="9" t="n">
        <v>5.9</v>
      </c>
      <c r="G44" s="9" t="n">
        <v>4</v>
      </c>
      <c r="H44" s="9" t="n">
        <v>5</v>
      </c>
      <c r="I44" s="9" t="n">
        <v>4.6</v>
      </c>
      <c r="J44" s="9" t="n">
        <v>0.9919547586567879</v>
      </c>
      <c r="K44" s="9" t="n">
        <v>4.844756189807972</v>
      </c>
      <c r="L44" s="9" t="n">
        <v>0.3331252998991818</v>
      </c>
      <c r="M44" s="9" t="n">
        <v>0.0955472900245036</v>
      </c>
      <c r="N44" s="9" t="n">
        <v>1.240841376866435</v>
      </c>
      <c r="O44" s="9" t="n">
        <v>5.937677911853633</v>
      </c>
      <c r="P44" s="9" t="n">
        <v>0.521262425928895</v>
      </c>
      <c r="Q44" s="9" t="n">
        <v>0.131576280510881</v>
      </c>
      <c r="R44" s="9" t="n">
        <v>0.115950452853025</v>
      </c>
      <c r="S44" s="9" t="n">
        <v>0.2147969736080384</v>
      </c>
      <c r="T44" s="9" t="n">
        <v>37032319672.9763</v>
      </c>
      <c r="U44" s="9" t="n">
        <v>0.0010571478333421</v>
      </c>
      <c r="V44" s="9" t="n">
        <v>0.0001894418252328</v>
      </c>
      <c r="W44" s="9" t="n">
        <v>-1.333333333333333</v>
      </c>
      <c r="X44" s="9" t="n">
        <v>4.819094914515003</v>
      </c>
      <c r="Y44" s="9" t="n">
        <v>22.2432975015094</v>
      </c>
      <c r="Z44" s="9" t="n">
        <v>43.83713292409095</v>
      </c>
      <c r="AA44" s="9" t="n">
        <v>14.47211859168617</v>
      </c>
      <c r="AB44" s="9" t="n">
        <v>48.82124800331926</v>
      </c>
      <c r="AC44" s="9" t="n">
        <v>23.33729865858601</v>
      </c>
      <c r="AD44" s="9" t="n">
        <v>2999.829836921293</v>
      </c>
      <c r="AE44" s="9" t="n">
        <v>2999.829836921293</v>
      </c>
      <c r="AF44" s="9" t="n">
        <v>6133.523987962959</v>
      </c>
      <c r="AG44" s="9" t="n">
        <v>43535.17270833333</v>
      </c>
      <c r="AH44" s="8" t="inlineStr">
        <is>
          <t>Moderate (5.0-5.9)</t>
        </is>
      </c>
    </row>
    <row r="45">
      <c r="A45" s="8" t="inlineStr">
        <is>
          <t>2012-02-04 13:19:37.810</t>
        </is>
      </c>
      <c r="B45" s="8" t="n">
        <v>2012</v>
      </c>
      <c r="C45" s="9" t="n">
        <v>12.178</v>
      </c>
      <c r="D45" s="9" t="n">
        <v>126.107</v>
      </c>
      <c r="E45" s="8" t="n">
        <v>48</v>
      </c>
      <c r="F45" s="9" t="n">
        <v>5.4</v>
      </c>
      <c r="G45" s="9" t="n">
        <v>5</v>
      </c>
      <c r="H45" s="9" t="n">
        <v>5.9</v>
      </c>
      <c r="I45" s="9" t="n">
        <v>4.859999999999999</v>
      </c>
      <c r="J45" s="9" t="n">
        <v>0.4032702645324802</v>
      </c>
      <c r="K45" s="9" t="n">
        <v>2.249225457482467</v>
      </c>
      <c r="L45" s="9" t="n">
        <v>0.1061910113943248</v>
      </c>
      <c r="M45" s="9" t="n">
        <v>0.103398508015361</v>
      </c>
      <c r="N45" s="9" t="n">
        <v>0.7896263307331853</v>
      </c>
      <c r="O45" s="9" t="n">
        <v>4.155378479627296</v>
      </c>
      <c r="P45" s="9" t="n">
        <v>0.4071351516261564</v>
      </c>
      <c r="Q45" s="9" t="n">
        <v>0.210881860298065</v>
      </c>
      <c r="R45" s="9" t="n">
        <v>0.3225358145608847</v>
      </c>
      <c r="S45" s="9" t="n">
        <v>0.6375381013840613</v>
      </c>
      <c r="T45" s="9" t="n">
        <v>207505014511.4451</v>
      </c>
      <c r="U45" s="9" t="n">
        <v>0.0616863688533255</v>
      </c>
      <c r="V45" s="9" t="n">
        <v>0.0042768203492089</v>
      </c>
      <c r="W45" s="9" t="n">
        <v>-1.698415551216894</v>
      </c>
      <c r="X45" s="9" t="n">
        <v>6.50052317917223</v>
      </c>
      <c r="Y45" s="9" t="n">
        <v>5.87347380203087</v>
      </c>
      <c r="Z45" s="9" t="n">
        <v>36.24440109967894</v>
      </c>
      <c r="AA45" s="9" t="n">
        <v>21.10283263417655</v>
      </c>
      <c r="AB45" s="9" t="n">
        <v>8.600930109299671</v>
      </c>
      <c r="AC45" s="9" t="n">
        <v>-7.12052703694456</v>
      </c>
      <c r="AD45" s="9" t="n">
        <v>2999.836976388892</v>
      </c>
      <c r="AE45" s="9" t="n">
        <v>2999.836976388892</v>
      </c>
      <c r="AF45" s="9" t="n">
        <v>6133.531127430557</v>
      </c>
      <c r="AG45" s="9" t="n">
        <v>43535.17270833333</v>
      </c>
      <c r="AH45" s="8" t="inlineStr">
        <is>
          <t>Moderate (5.0-5.9)</t>
        </is>
      </c>
    </row>
    <row r="46">
      <c r="A46" s="8" t="inlineStr">
        <is>
          <t>2012-02-04 19:29:11.800</t>
        </is>
      </c>
      <c r="B46" s="8" t="n">
        <v>2012</v>
      </c>
      <c r="C46" s="9" t="n">
        <v>12.147</v>
      </c>
      <c r="D46" s="9" t="n">
        <v>126.122</v>
      </c>
      <c r="E46" s="8" t="n">
        <v>2</v>
      </c>
      <c r="F46" s="9" t="n">
        <v>5.4</v>
      </c>
      <c r="G46" s="9" t="n">
        <v>7</v>
      </c>
      <c r="H46" s="9" t="n">
        <v>5.9</v>
      </c>
      <c r="I46" s="9" t="n">
        <v>4.871428571428571</v>
      </c>
      <c r="J46" s="9" t="n">
        <v>0.5208138411809718</v>
      </c>
      <c r="K46" s="9" t="n">
        <v>3.002474307287624</v>
      </c>
      <c r="L46" s="9" t="n">
        <v>0.1399748670312135</v>
      </c>
      <c r="M46" s="9" t="n">
        <v>0.0686191772451645</v>
      </c>
      <c r="N46" s="9" t="n">
        <v>0.6893563204813522</v>
      </c>
      <c r="O46" s="9" t="n">
        <v>3.801073446502104</v>
      </c>
      <c r="P46" s="9" t="n">
        <v>0.2452294094008819</v>
      </c>
      <c r="Q46" s="9" t="n">
        <v>0.1188565916053182</v>
      </c>
      <c r="R46" s="9" t="n">
        <v>0.1350335765283032</v>
      </c>
      <c r="S46" s="9" t="n">
        <v>0.3860541151665178</v>
      </c>
      <c r="T46" s="9" t="n">
        <v>219976321514.3921</v>
      </c>
      <c r="U46" s="9" t="n">
        <v>0.0273878837912781</v>
      </c>
      <c r="V46" s="9" t="n">
        <v>0.008549309479686001</v>
      </c>
      <c r="W46" s="9" t="n">
        <v>-1.870828693386971</v>
      </c>
      <c r="X46" s="9" t="n">
        <v>8.637332561050339</v>
      </c>
      <c r="Y46" s="9" t="n">
        <v>5.87347380203087</v>
      </c>
      <c r="Z46" s="9" t="n">
        <v>29.08248230100788</v>
      </c>
      <c r="AA46" s="9" t="n">
        <v>21.16739819919779</v>
      </c>
      <c r="AB46" s="9" t="n">
        <v>8.680267331122007</v>
      </c>
      <c r="AC46" s="9" t="n">
        <v>-7.821483022303283</v>
      </c>
      <c r="AD46" s="9" t="n">
        <v>3000.093619791667</v>
      </c>
      <c r="AE46" s="9" t="n">
        <v>3000.093619791667</v>
      </c>
      <c r="AF46" s="9" t="n">
        <v>6133.787770833333</v>
      </c>
      <c r="AG46" s="9" t="n">
        <v>43535.17270833333</v>
      </c>
      <c r="AH46" s="8" t="inlineStr">
        <is>
          <t>Moderate (5.0-5.9)</t>
        </is>
      </c>
    </row>
    <row r="47">
      <c r="A47" s="8" t="inlineStr">
        <is>
          <t>2012-02-06 10:10:17.500</t>
        </is>
      </c>
      <c r="B47" s="8" t="n">
        <v>2012</v>
      </c>
      <c r="C47" s="9" t="n">
        <v>9.914999999999999</v>
      </c>
      <c r="D47" s="9" t="n">
        <v>123.172</v>
      </c>
      <c r="E47" s="8" t="n">
        <v>1</v>
      </c>
      <c r="F47" s="9" t="n">
        <v>6.3</v>
      </c>
      <c r="G47" s="9" t="n">
        <v>5</v>
      </c>
      <c r="H47" s="9" t="n">
        <v>6.9</v>
      </c>
      <c r="I47" s="9" t="n">
        <v>5</v>
      </c>
      <c r="J47" s="9" t="n">
        <v>0.200426892212667</v>
      </c>
      <c r="K47" s="9" t="n">
        <v>1.264598141926892</v>
      </c>
      <c r="L47" s="9" t="n">
        <v>0.0480088942075051</v>
      </c>
      <c r="M47" s="9" t="n">
        <v>0.0885494074196984</v>
      </c>
      <c r="N47" s="9" t="n">
        <v>0.3298439103062672</v>
      </c>
      <c r="O47" s="9" t="n">
        <v>1.895450069036612</v>
      </c>
      <c r="P47" s="9" t="n">
        <v>0.1300249390547575</v>
      </c>
      <c r="Q47" s="9" t="n">
        <v>0.1623160564801803</v>
      </c>
      <c r="R47" s="9" t="n">
        <v>0.590476722130358</v>
      </c>
      <c r="S47" s="9" t="n">
        <v>1.153493819920324</v>
      </c>
      <c r="T47" s="9" t="n">
        <v>1622936089029.93</v>
      </c>
      <c r="U47" s="9" t="n">
        <v>0.2504490123389676</v>
      </c>
      <c r="V47" s="9" t="n">
        <v>0.1024396931918998</v>
      </c>
      <c r="W47" s="9" t="n">
        <v>-1</v>
      </c>
      <c r="X47" s="9" t="n">
        <v>9.311630656989127</v>
      </c>
      <c r="Y47" s="9" t="n">
        <v>11.8490554839201</v>
      </c>
      <c r="Z47" s="9" t="n">
        <v>19.36417465918694</v>
      </c>
      <c r="AA47" s="9" t="n">
        <v>6.098726711805972</v>
      </c>
      <c r="AB47" s="9" t="n">
        <v>22.8632159507427</v>
      </c>
      <c r="AC47" s="9" t="n">
        <v>34.49699064164468</v>
      </c>
      <c r="AD47" s="9" t="n">
        <v>0.2646537037071539</v>
      </c>
      <c r="AE47" s="9" t="n">
        <v>0.2646537037071539</v>
      </c>
      <c r="AF47" s="9" t="n">
        <v>43535.17270833333</v>
      </c>
      <c r="AG47" s="9" t="n">
        <v>43535.17270833333</v>
      </c>
      <c r="AH47" s="8" t="inlineStr">
        <is>
          <t>Strong (6.0-6.9)</t>
        </is>
      </c>
    </row>
    <row r="48">
      <c r="A48" s="8" t="inlineStr">
        <is>
          <t>2012-09-05 00:35:28.600</t>
        </is>
      </c>
      <c r="B48" s="8" t="n">
        <v>2012</v>
      </c>
      <c r="C48" s="9" t="n">
        <v>11.636</v>
      </c>
      <c r="D48" s="9" t="n">
        <v>126.492</v>
      </c>
      <c r="E48" s="8" t="n">
        <v>4</v>
      </c>
      <c r="F48" s="9" t="n">
        <v>5.3</v>
      </c>
      <c r="G48" s="9" t="n">
        <v>31</v>
      </c>
      <c r="H48" s="9" t="n">
        <v>5.4</v>
      </c>
      <c r="I48" s="9" t="n">
        <v>4.438709677419355</v>
      </c>
      <c r="J48" s="9" t="n">
        <v>1.359208875144444</v>
      </c>
      <c r="K48" s="9" t="n">
        <v>7.197275583327011</v>
      </c>
      <c r="L48" s="9" t="n">
        <v>0.2641316920838529</v>
      </c>
      <c r="M48" s="9" t="n">
        <v>0.1083417217415778</v>
      </c>
      <c r="N48" s="9" t="n">
        <v>1.102270258637695</v>
      </c>
      <c r="O48" s="9" t="n">
        <v>6.027475094950355</v>
      </c>
      <c r="P48" s="9" t="n">
        <v>0.1737097875712603</v>
      </c>
      <c r="Q48" s="9" t="n">
        <v>0.1562327520408805</v>
      </c>
      <c r="R48" s="9" t="n">
        <v>0.1048053357051914</v>
      </c>
      <c r="S48" s="9" t="n">
        <v>-0.0682370749980707</v>
      </c>
      <c r="T48" s="9" t="n">
        <v>103680687796.1185</v>
      </c>
      <c r="U48" s="9" t="n">
        <v>8.363217173642262e-05</v>
      </c>
      <c r="V48" s="9" t="n">
        <v>0.0004933887288495001</v>
      </c>
      <c r="W48" s="9" t="n">
        <v>-2.489782560589819</v>
      </c>
      <c r="X48" s="9" t="n">
        <v>20.94371238523932</v>
      </c>
      <c r="Y48" s="9" t="n">
        <v>7.073886219406639</v>
      </c>
      <c r="Z48" s="9" t="n">
        <v>33.40098406545536</v>
      </c>
      <c r="AA48" s="9" t="n">
        <v>14.47953742674076</v>
      </c>
      <c r="AB48" s="9" t="n">
        <v>37.35902647890536</v>
      </c>
      <c r="AC48" s="9" t="n">
        <v>-2.205203150749841</v>
      </c>
      <c r="AD48" s="9" t="n">
        <v>5816.616283564821</v>
      </c>
      <c r="AE48" s="9" t="n">
        <v>6347.017768518519</v>
      </c>
      <c r="AF48" s="9" t="n">
        <v>6347.017768518519</v>
      </c>
      <c r="AG48" s="9" t="n">
        <v>43535.17270833333</v>
      </c>
      <c r="AH48" s="8" t="inlineStr">
        <is>
          <t>Moderate (5.0-5.9)</t>
        </is>
      </c>
    </row>
    <row r="49">
      <c r="A49" s="8" t="inlineStr">
        <is>
          <t>2012-09-21 15:24:59.300</t>
        </is>
      </c>
      <c r="B49" s="8" t="n">
        <v>2012</v>
      </c>
      <c r="C49" s="9" t="n">
        <v>9.741</v>
      </c>
      <c r="D49" s="9" t="n">
        <v>126.89</v>
      </c>
      <c r="E49" s="8" t="n">
        <v>86</v>
      </c>
      <c r="F49" s="9" t="n">
        <v>5.1</v>
      </c>
      <c r="G49" s="9" t="n">
        <v>11</v>
      </c>
      <c r="H49" s="9" t="n">
        <v>5.1</v>
      </c>
      <c r="I49" s="9" t="n">
        <v>4.381818181818182</v>
      </c>
      <c r="J49" s="9" t="n">
        <v>0.9595129533079624</v>
      </c>
      <c r="K49" s="9" t="n">
        <v>4.784986819464406</v>
      </c>
      <c r="L49" s="9" t="n">
        <v>0.1994981972667123</v>
      </c>
      <c r="M49" s="9" t="n">
        <v>0.1024865169997025</v>
      </c>
      <c r="N49" s="9" t="n">
        <v>1.240841376866435</v>
      </c>
      <c r="O49" s="9" t="n">
        <v>6.06090745061862</v>
      </c>
      <c r="P49" s="9" t="n">
        <v>0.3336336336390968</v>
      </c>
      <c r="Q49" s="9" t="n">
        <v>0.1180126663542541</v>
      </c>
      <c r="R49" s="9" t="n">
        <v>0.11310867876462</v>
      </c>
      <c r="S49" s="9" t="n">
        <v>0.2154856989661615</v>
      </c>
      <c r="T49" s="9" t="n">
        <v>48507751771.04757</v>
      </c>
      <c r="U49" s="9" t="n">
        <v>0.00132269934985</v>
      </c>
      <c r="V49" s="9" t="n">
        <v>0.0001894418252328</v>
      </c>
      <c r="W49" s="9" t="n">
        <v>0.8115026712006891</v>
      </c>
      <c r="X49" s="9" t="n">
        <v>5.922580022196998</v>
      </c>
      <c r="Y49" s="9" t="n">
        <v>3.63197745046877</v>
      </c>
      <c r="Z49" s="9" t="n">
        <v>22.66868454738826</v>
      </c>
      <c r="AA49" s="9" t="n">
        <v>10.76766382137067</v>
      </c>
      <c r="AB49" s="9" t="n">
        <v>30.78875424947346</v>
      </c>
      <c r="AC49" s="9" t="n">
        <v>-1.160410996941915</v>
      </c>
      <c r="AD49" s="9" t="n">
        <v>5464.121467592595</v>
      </c>
      <c r="AE49" s="9" t="n">
        <v>5464.121467592595</v>
      </c>
      <c r="AF49" s="9" t="n">
        <v>22101.18602199074</v>
      </c>
      <c r="AG49" s="9" t="n">
        <v>22101.18602199074</v>
      </c>
      <c r="AH49" s="8" t="inlineStr">
        <is>
          <t>Moderate (5.0-5.9)</t>
        </is>
      </c>
    </row>
    <row r="50">
      <c r="A50" s="8" t="inlineStr">
        <is>
          <t>2012-09-21 15:26:52.500</t>
        </is>
      </c>
      <c r="B50" s="8" t="n">
        <v>2012</v>
      </c>
      <c r="C50" s="9" t="n">
        <v>9.766</v>
      </c>
      <c r="D50" s="9" t="n">
        <v>126.989</v>
      </c>
      <c r="E50" s="8" t="n">
        <v>28</v>
      </c>
      <c r="F50" s="9" t="n">
        <v>5.2</v>
      </c>
      <c r="G50" s="9" t="n">
        <v>12</v>
      </c>
      <c r="H50" s="9" t="n">
        <v>5.1</v>
      </c>
      <c r="I50" s="9" t="n">
        <v>4.441666666666666</v>
      </c>
      <c r="J50" s="9" t="n">
        <v>0.6004432990627101</v>
      </c>
      <c r="K50" s="9" t="n">
        <v>3.29432229550551</v>
      </c>
      <c r="L50" s="9" t="n">
        <v>0.08688484752961401</v>
      </c>
      <c r="M50" s="9" t="n">
        <v>0.0642838466761765</v>
      </c>
      <c r="N50" s="9" t="n">
        <v>1.021869369184122</v>
      </c>
      <c r="O50" s="9" t="n">
        <v>5.200472152656513</v>
      </c>
      <c r="P50" s="9" t="n">
        <v>0.2516464457985892</v>
      </c>
      <c r="Q50" s="9" t="n">
        <v>0.1313033175063997</v>
      </c>
      <c r="R50" s="9" t="n">
        <v>-0.3864835708016656</v>
      </c>
      <c r="S50" s="9" t="n">
        <v>0.0108248965240465</v>
      </c>
      <c r="T50" s="9" t="n">
        <v>62181695299.48325</v>
      </c>
      <c r="U50" s="9" t="n">
        <v>0.0158004735349813</v>
      </c>
      <c r="V50" s="9" t="n">
        <v>0.0008597890156869</v>
      </c>
      <c r="W50" s="9" t="n">
        <v>0.4435327625727437</v>
      </c>
      <c r="X50" s="9" t="n">
        <v>6.440206818861215</v>
      </c>
      <c r="Y50" s="9" t="n">
        <v>3.63197745046877</v>
      </c>
      <c r="Z50" s="9" t="n">
        <v>21.20651510793486</v>
      </c>
      <c r="AA50" s="9" t="n">
        <v>11.44804013277216</v>
      </c>
      <c r="AB50" s="9" t="n">
        <v>21.78555417788709</v>
      </c>
      <c r="AC50" s="9" t="n">
        <v>-1.364992555608294</v>
      </c>
      <c r="AD50" s="9" t="n">
        <v>5464.122777777775</v>
      </c>
      <c r="AE50" s="9" t="n">
        <v>5464.122777777775</v>
      </c>
      <c r="AF50" s="9" t="n">
        <v>22101.18733217592</v>
      </c>
      <c r="AG50" s="9" t="n">
        <v>22101.18733217592</v>
      </c>
      <c r="AH50" s="8" t="inlineStr">
        <is>
          <t>Moderate (5.0-5.9)</t>
        </is>
      </c>
    </row>
    <row r="51">
      <c r="A51" s="8" t="inlineStr">
        <is>
          <t>2012-10-04 14:45:28.540</t>
        </is>
      </c>
      <c r="B51" s="8" t="n">
        <v>2012</v>
      </c>
      <c r="C51" s="9" t="n">
        <v>9.863</v>
      </c>
      <c r="D51" s="9" t="n">
        <v>126.613</v>
      </c>
      <c r="E51" s="8" t="n">
        <v>19</v>
      </c>
      <c r="F51" s="9" t="n">
        <v>5.2</v>
      </c>
      <c r="G51" s="9" t="n">
        <v>16</v>
      </c>
      <c r="H51" s="9" t="n">
        <v>5.2</v>
      </c>
      <c r="I51" s="9" t="n">
        <v>4.4625</v>
      </c>
      <c r="J51" s="9" t="n">
        <v>1.130370545204078</v>
      </c>
      <c r="K51" s="9" t="n">
        <v>5.967112368677432</v>
      </c>
      <c r="L51" s="9" t="n">
        <v>0.2721032955330453</v>
      </c>
      <c r="M51" s="9" t="n">
        <v>0.06299709597953621</v>
      </c>
      <c r="N51" s="9" t="n">
        <v>1.192180930714807</v>
      </c>
      <c r="O51" s="9" t="n">
        <v>6.209912228230889</v>
      </c>
      <c r="P51" s="9" t="n">
        <v>0.3026749496684896</v>
      </c>
      <c r="Q51" s="9" t="n">
        <v>0.1169402169709278</v>
      </c>
      <c r="R51" s="9" t="n">
        <v>-0.078899378610509</v>
      </c>
      <c r="S51" s="9" t="n">
        <v>-0.0088672685844359</v>
      </c>
      <c r="T51" s="9" t="n">
        <v>75513610278.72978</v>
      </c>
      <c r="U51" s="9" t="n">
        <v>0.0004063388661323</v>
      </c>
      <c r="V51" s="9" t="n">
        <v>0.0002651289841779</v>
      </c>
      <c r="W51" s="9" t="n">
        <v>3.060368222704024</v>
      </c>
      <c r="X51" s="9" t="n">
        <v>6.545956424863535</v>
      </c>
      <c r="Y51" s="9" t="n">
        <v>2.32092250771864</v>
      </c>
      <c r="Z51" s="9" t="n">
        <v>17.38178574728681</v>
      </c>
      <c r="AA51" s="9" t="n">
        <v>13.27013378882986</v>
      </c>
      <c r="AB51" s="9" t="n">
        <v>9.955594013334474</v>
      </c>
      <c r="AC51" s="9" t="n">
        <v>0.8608146382926324</v>
      </c>
      <c r="AD51" s="9" t="n">
        <v>4788.556111574086</v>
      </c>
      <c r="AE51" s="9" t="n">
        <v>5477.094028240746</v>
      </c>
      <c r="AF51" s="9" t="n">
        <v>22114.15858263889</v>
      </c>
      <c r="AG51" s="9" t="n">
        <v>22114.15858263889</v>
      </c>
      <c r="AH51" s="8" t="inlineStr">
        <is>
          <t>Moderate (5.0-5.9)</t>
        </is>
      </c>
    </row>
    <row r="52">
      <c r="A52" s="8" t="inlineStr">
        <is>
          <t>2012-10-04 17:03:11.330</t>
        </is>
      </c>
      <c r="B52" s="8" t="n">
        <v>2012</v>
      </c>
      <c r="C52" s="9" t="n">
        <v>5.478</v>
      </c>
      <c r="D52" s="9" t="n">
        <v>126.203</v>
      </c>
      <c r="E52" s="8" t="n">
        <v>71</v>
      </c>
      <c r="F52" s="9" t="n">
        <v>5.1</v>
      </c>
      <c r="G52" s="9" t="n">
        <v>3</v>
      </c>
      <c r="H52" s="9" t="n">
        <v>5.5</v>
      </c>
      <c r="I52" s="9" t="n">
        <v>4.566666666666666</v>
      </c>
      <c r="J52" s="9" t="n">
        <v>0.2114932164225073</v>
      </c>
      <c r="K52" s="9" t="n">
        <v>1.072041605884886</v>
      </c>
      <c r="L52" s="9" t="n">
        <v>0.0483755597959399</v>
      </c>
      <c r="M52" s="9" t="n">
        <v>0.110759018942045</v>
      </c>
      <c r="N52" s="9" t="n">
        <v>0.7042613220052737</v>
      </c>
      <c r="O52" s="9" t="n">
        <v>3.294166542740757</v>
      </c>
      <c r="P52" s="9" t="n">
        <v>0.5364148530517191</v>
      </c>
      <c r="Q52" s="9" t="n">
        <v>0.2868644453663111</v>
      </c>
      <c r="R52" s="9" t="n">
        <v>0.431082783557315</v>
      </c>
      <c r="S52" s="9" t="n">
        <v>0.8225224219879994</v>
      </c>
      <c r="T52" s="9" t="n">
        <v>89417219173.06749</v>
      </c>
      <c r="U52" s="9" t="n">
        <v>0.232017290468486</v>
      </c>
      <c r="V52" s="9" t="n">
        <v>0.0077128704008256</v>
      </c>
      <c r="W52" s="9" t="n">
        <v>2.121320343559642</v>
      </c>
      <c r="X52" s="9" t="n">
        <v>1.82516716386822</v>
      </c>
      <c r="Y52" s="9" t="n">
        <v>27.5782793494199</v>
      </c>
      <c r="Z52" s="9" t="n">
        <v>68.4054597879619</v>
      </c>
      <c r="AA52" s="9" t="n">
        <v>39.26171093364487</v>
      </c>
      <c r="AB52" s="9" t="n">
        <v>71.88282327458069</v>
      </c>
      <c r="AC52" s="9" t="n">
        <v>15.7092248880041</v>
      </c>
      <c r="AD52" s="9" t="n">
        <v>111.6590771990741</v>
      </c>
      <c r="AE52" s="9" t="n">
        <v>5146.351128819442</v>
      </c>
      <c r="AF52" s="9" t="n">
        <v>5146.351128819442</v>
      </c>
      <c r="AG52" s="9" t="n">
        <v>15382.1734806713</v>
      </c>
      <c r="AH52" s="8" t="inlineStr">
        <is>
          <t>Moderate (5.0-5.9)</t>
        </is>
      </c>
    </row>
    <row r="53">
      <c r="A53" s="8" t="inlineStr">
        <is>
          <t>2012-11-05 08:48:09.260</t>
        </is>
      </c>
      <c r="B53" s="8" t="n">
        <v>2012</v>
      </c>
      <c r="C53" s="9" t="n">
        <v>4.777</v>
      </c>
      <c r="D53" s="9" t="n">
        <v>124.704</v>
      </c>
      <c r="E53" s="8" t="n">
        <v>14</v>
      </c>
      <c r="F53" s="9" t="n">
        <v>5</v>
      </c>
      <c r="G53" s="9" t="n">
        <v>6</v>
      </c>
      <c r="H53" s="9" t="n">
        <v>5.2</v>
      </c>
      <c r="I53" s="9" t="n">
        <v>4.850000000000001</v>
      </c>
      <c r="J53" s="9" t="n">
        <v>1.168423200767841</v>
      </c>
      <c r="K53" s="9" t="n">
        <v>6.164245048584736</v>
      </c>
      <c r="L53" s="9" t="n">
        <v>0.3510614856758305</v>
      </c>
      <c r="M53" s="9" t="n">
        <v>0.07212806474196939</v>
      </c>
      <c r="N53" s="9" t="n">
        <v>1.240841376866435</v>
      </c>
      <c r="O53" s="9" t="n">
        <v>6.434014462600207</v>
      </c>
      <c r="P53" s="9" t="n">
        <v>0.3959272344897944</v>
      </c>
      <c r="Q53" s="9" t="n">
        <v>0.1069514710906028</v>
      </c>
      <c r="R53" s="9" t="n">
        <v>-0.0756955224218769</v>
      </c>
      <c r="S53" s="9" t="n">
        <v>0.0147969736080391</v>
      </c>
      <c r="T53" s="9" t="n">
        <v>72236256785.82397</v>
      </c>
      <c r="U53" s="9" t="n">
        <v>0.000312413935478</v>
      </c>
      <c r="V53" s="9" t="n">
        <v>0.0001894418252328</v>
      </c>
      <c r="W53" s="9" t="n">
        <v>-1</v>
      </c>
      <c r="X53" s="9" t="n">
        <v>7.944644274971296</v>
      </c>
      <c r="Y53" s="9" t="n">
        <v>46.9521047754631</v>
      </c>
      <c r="Z53" s="9" t="n">
        <v>56.53236874692431</v>
      </c>
      <c r="AA53" s="9" t="n">
        <v>9.575706364966392</v>
      </c>
      <c r="AB53" s="9" t="n">
        <v>53.97969486820886</v>
      </c>
      <c r="AC53" s="9" t="n">
        <v>6.529235243940487</v>
      </c>
      <c r="AD53" s="9" t="n">
        <v>10212.02283981482</v>
      </c>
      <c r="AE53" s="9" t="n">
        <v>32000.93260717593</v>
      </c>
      <c r="AF53" s="9" t="n">
        <v>43535.17270833333</v>
      </c>
      <c r="AG53" s="9" t="n">
        <v>43535.17270833333</v>
      </c>
      <c r="AH53" s="8" t="inlineStr">
        <is>
          <t>Moderate (5.0-5.9)</t>
        </is>
      </c>
    </row>
    <row r="54">
      <c r="A54" s="8" t="inlineStr">
        <is>
          <t>2012-12-24 12:58:20.010</t>
        </is>
      </c>
      <c r="B54" s="8" t="n">
        <v>2012</v>
      </c>
      <c r="C54" s="9" t="n">
        <v>3.887</v>
      </c>
      <c r="D54" s="9" t="n">
        <v>126.597</v>
      </c>
      <c r="E54" s="8" t="n">
        <v>50</v>
      </c>
      <c r="F54" s="9" t="n">
        <v>5</v>
      </c>
      <c r="G54" s="9" t="n">
        <v>4</v>
      </c>
      <c r="H54" s="9" t="n">
        <v>5</v>
      </c>
      <c r="I54" s="9" t="n">
        <v>4.5</v>
      </c>
      <c r="J54" s="9" t="n">
        <v>0.7074102276214941</v>
      </c>
      <c r="K54" s="9" t="n">
        <v>3.454952048380929</v>
      </c>
      <c r="L54" s="9" t="n">
        <v>0.2349442843598627</v>
      </c>
      <c r="M54" s="9" t="n">
        <v>0.1177961726963868</v>
      </c>
      <c r="N54" s="9" t="n">
        <v>0.7896263307331853</v>
      </c>
      <c r="O54" s="9" t="n">
        <v>3.760565314260704</v>
      </c>
      <c r="P54" s="9" t="n">
        <v>0.2927288042857899</v>
      </c>
      <c r="Q54" s="9" t="n">
        <v>0.1384767090901173</v>
      </c>
      <c r="R54" s="9" t="n">
        <v>0.1160558421703648</v>
      </c>
      <c r="S54" s="9" t="n">
        <v>0.23753810138406</v>
      </c>
      <c r="T54" s="9" t="n">
        <v>35603848307.21872</v>
      </c>
      <c r="U54" s="9" t="n">
        <v>0.0075469125415016</v>
      </c>
      <c r="V54" s="9" t="n">
        <v>0.0042768203492089</v>
      </c>
      <c r="W54" s="9" t="n">
        <v>-0.8660254037844386</v>
      </c>
      <c r="X54" s="9" t="n">
        <v>3.907598644188526</v>
      </c>
      <c r="Y54" s="9" t="n">
        <v>170.465644380374</v>
      </c>
      <c r="Z54" s="9" t="n">
        <v>188.3465632021977</v>
      </c>
      <c r="AA54" s="9" t="n">
        <v>18.24034134141006</v>
      </c>
      <c r="AB54" s="9" t="n">
        <v>176.3359384029618</v>
      </c>
      <c r="AC54" s="9" t="n">
        <v>-2.276896840548531</v>
      </c>
      <c r="AD54" s="9" t="n">
        <v>1289.319911226848</v>
      </c>
      <c r="AE54" s="9" t="n">
        <v>1411.807951504626</v>
      </c>
      <c r="AF54" s="9" t="n">
        <v>1411.807951504626</v>
      </c>
      <c r="AG54" s="9" t="n">
        <v>1411.807951504626</v>
      </c>
      <c r="AH54" s="8" t="inlineStr">
        <is>
          <t>Moderate (5.0-5.9)</t>
        </is>
      </c>
    </row>
    <row r="55">
      <c r="A55" s="8" t="inlineStr">
        <is>
          <t>2013-06-02 20:08:26.120</t>
        </is>
      </c>
      <c r="B55" s="8" t="n">
        <v>2013</v>
      </c>
      <c r="C55" s="9" t="n">
        <v>7.36</v>
      </c>
      <c r="D55" s="9" t="n">
        <v>124.794</v>
      </c>
      <c r="E55" s="8" t="n">
        <v>12</v>
      </c>
      <c r="F55" s="9" t="n">
        <v>5.7</v>
      </c>
      <c r="G55" s="9" t="n">
        <v>9</v>
      </c>
      <c r="H55" s="9" t="n">
        <v>5.7</v>
      </c>
      <c r="I55" s="9" t="n">
        <v>4.566666666666666</v>
      </c>
      <c r="J55" s="9" t="n">
        <v>0.6379464278292319</v>
      </c>
      <c r="K55" s="9" t="n">
        <v>3.444890090683081</v>
      </c>
      <c r="L55" s="9" t="n">
        <v>0.1567854267498348</v>
      </c>
      <c r="M55" s="9" t="n">
        <v>0.1254903325602852</v>
      </c>
      <c r="N55" s="9" t="n">
        <v>0.9650988486738964</v>
      </c>
      <c r="O55" s="9" t="n">
        <v>4.995023089312011</v>
      </c>
      <c r="P55" s="9" t="n">
        <v>0.3588234913586112</v>
      </c>
      <c r="Q55" s="9" t="n">
        <v>0.1998562870149617</v>
      </c>
      <c r="R55" s="9" t="n">
        <v>0.3000323218280911</v>
      </c>
      <c r="S55" s="9" t="n">
        <v>0.5243404329251131</v>
      </c>
      <c r="T55" s="9" t="n">
        <v>139920379024.9245</v>
      </c>
      <c r="U55" s="9" t="n">
        <v>0.0121944078589454</v>
      </c>
      <c r="V55" s="9" t="n">
        <v>0.0012726338013397</v>
      </c>
      <c r="W55" s="9" t="n">
        <v>-1.535976334769151</v>
      </c>
      <c r="X55" s="9" t="n">
        <v>10.19808392546932</v>
      </c>
      <c r="Y55" s="9" t="n">
        <v>54.1878388425148</v>
      </c>
      <c r="Z55" s="9" t="n">
        <v>58.84823925322863</v>
      </c>
      <c r="AA55" s="9" t="n">
        <v>3.09574195297707</v>
      </c>
      <c r="AB55" s="9" t="n">
        <v>60.22327542359452</v>
      </c>
      <c r="AC55" s="9" t="n">
        <v>-0.2180042579408565</v>
      </c>
      <c r="AD55" s="9" t="n">
        <v>20288.51100833333</v>
      </c>
      <c r="AE55" s="9" t="n">
        <v>21238.1043300926</v>
      </c>
      <c r="AF55" s="9" t="n">
        <v>43535.17270833333</v>
      </c>
      <c r="AG55" s="9" t="n">
        <v>43535.17270833333</v>
      </c>
      <c r="AH55" s="8" t="inlineStr">
        <is>
          <t>Moderate (5.0-5.9)</t>
        </is>
      </c>
    </row>
    <row r="56">
      <c r="A56" s="8" t="inlineStr">
        <is>
          <t>2013-09-16 04:08:01.160</t>
        </is>
      </c>
      <c r="B56" s="8" t="n">
        <v>2013</v>
      </c>
      <c r="C56" s="9" t="n">
        <v>5.97</v>
      </c>
      <c r="D56" s="9" t="n">
        <v>126.127</v>
      </c>
      <c r="E56" s="8" t="n">
        <v>142</v>
      </c>
      <c r="F56" s="9" t="n">
        <v>5</v>
      </c>
      <c r="G56" s="9" t="n">
        <v>3</v>
      </c>
      <c r="H56" s="9" t="n">
        <v>5.3</v>
      </c>
      <c r="I56" s="9" t="n">
        <v>4.666666666666666</v>
      </c>
      <c r="J56" s="9" t="n">
        <v>0.4053943661141594</v>
      </c>
      <c r="K56" s="9" t="n">
        <v>2.057835923278054</v>
      </c>
      <c r="L56" s="9" t="n">
        <v>0.1315452734347886</v>
      </c>
      <c r="M56" s="9" t="n">
        <v>0.0813282164388221</v>
      </c>
      <c r="N56" s="9" t="n">
        <v>0.7042613220052737</v>
      </c>
      <c r="O56" s="9" t="n">
        <v>3.364592674941285</v>
      </c>
      <c r="P56" s="9" t="n">
        <v>0.3969972564783766</v>
      </c>
      <c r="Q56" s="9" t="n">
        <v>0.1690560305762681</v>
      </c>
      <c r="R56" s="9" t="n">
        <v>0.2238664981876788</v>
      </c>
      <c r="S56" s="9" t="n">
        <v>0.5225224219879996</v>
      </c>
      <c r="T56" s="9" t="n">
        <v>60678685759.59637</v>
      </c>
      <c r="U56" s="9" t="n">
        <v>0.0607878665897</v>
      </c>
      <c r="V56" s="9" t="n">
        <v>0.0077128704008256</v>
      </c>
      <c r="W56" s="9" t="n">
        <v>0.6123724356957945</v>
      </c>
      <c r="X56" s="9" t="n">
        <v>1.758027116019358</v>
      </c>
      <c r="Y56" s="9" t="n">
        <v>20.5252983822025</v>
      </c>
      <c r="Z56" s="9" t="n">
        <v>29.1431857719586</v>
      </c>
      <c r="AA56" s="9" t="n">
        <v>12.33617463055015</v>
      </c>
      <c r="AB56" s="9" t="n">
        <v>41.36374759370837</v>
      </c>
      <c r="AC56" s="9" t="n">
        <v>-2.059074723042726</v>
      </c>
      <c r="AD56" s="9" t="n">
        <v>211.9794777777788</v>
      </c>
      <c r="AE56" s="9" t="n">
        <v>5492.812816666665</v>
      </c>
      <c r="AF56" s="9" t="n">
        <v>5492.812816666665</v>
      </c>
      <c r="AG56" s="9" t="n">
        <v>15728.63516851852</v>
      </c>
      <c r="AH56" s="8" t="inlineStr">
        <is>
          <t>Moderate (5.0-5.9)</t>
        </is>
      </c>
    </row>
    <row r="57">
      <c r="A57" s="8" t="inlineStr">
        <is>
          <t>2013-12-31 21:32:02.670</t>
        </is>
      </c>
      <c r="B57" s="8" t="n">
        <v>2013</v>
      </c>
      <c r="C57" s="9" t="n">
        <v>19.169</v>
      </c>
      <c r="D57" s="9" t="n">
        <v>120.077</v>
      </c>
      <c r="E57" s="8" t="n">
        <v>33</v>
      </c>
      <c r="F57" s="9" t="n">
        <v>5</v>
      </c>
      <c r="G57" s="9" t="n">
        <v>3</v>
      </c>
      <c r="H57" s="9" t="n">
        <v>5.5</v>
      </c>
      <c r="I57" s="9" t="n">
        <v>5.100000000000001</v>
      </c>
      <c r="J57" s="9" t="n">
        <v>0.5112013443424946</v>
      </c>
      <c r="K57" s="9" t="n">
        <v>2.726407169826638</v>
      </c>
      <c r="L57" s="9" t="n">
        <v>0.1202103346504838</v>
      </c>
      <c r="M57" s="9" t="n">
        <v>0.1425672434406158</v>
      </c>
      <c r="N57" s="9" t="n">
        <v>1.737177927613007</v>
      </c>
      <c r="O57" s="9" t="n">
        <v>8.989293100023399</v>
      </c>
      <c r="P57" s="9" t="n">
        <v>1.388182090005478</v>
      </c>
      <c r="Q57" s="9" t="n">
        <v>0.3242703363568224</v>
      </c>
      <c r="R57" s="9" t="n">
        <v>0.1666666666666678</v>
      </c>
      <c r="S57" s="9" t="n">
        <v>0.3253469278329719</v>
      </c>
      <c r="T57" s="9" t="n">
        <v>96253151861.42191</v>
      </c>
      <c r="U57" s="9" t="n">
        <v>0.0292681968266658</v>
      </c>
      <c r="V57" s="9" t="n">
        <v>6.144212353328218e-06</v>
      </c>
      <c r="W57" s="9" t="n">
        <v>-1.441153384245784</v>
      </c>
      <c r="X57" s="9" t="n">
        <v>7.410849195313975</v>
      </c>
      <c r="Y57" s="9" t="n">
        <v>17.3818598492943</v>
      </c>
      <c r="Z57" s="9" t="n">
        <v>24.42709962912677</v>
      </c>
      <c r="AA57" s="9" t="n">
        <v>11.72996774390258</v>
      </c>
      <c r="AB57" s="9" t="n">
        <v>19.89126512804073</v>
      </c>
      <c r="AC57" s="9" t="n">
        <v>-9.75867509817671</v>
      </c>
      <c r="AD57" s="9" t="n">
        <v>21142.4046605324</v>
      </c>
      <c r="AE57" s="9" t="n">
        <v>21142.4046605324</v>
      </c>
      <c r="AF57" s="9" t="n">
        <v>43535.17270833333</v>
      </c>
      <c r="AG57" s="9" t="n">
        <v>43535.17270833333</v>
      </c>
      <c r="AH57" s="8" t="inlineStr">
        <is>
          <t>Moderate (5.0-5.9)</t>
        </is>
      </c>
    </row>
    <row r="58">
      <c r="A58" s="8" t="inlineStr">
        <is>
          <t>2013-12-31 23:41:47.810</t>
        </is>
      </c>
      <c r="B58" s="8" t="n">
        <v>2013</v>
      </c>
      <c r="C58" s="9" t="n">
        <v>19.148</v>
      </c>
      <c r="D58" s="9" t="n">
        <v>120.135</v>
      </c>
      <c r="E58" s="8" t="n">
        <v>33</v>
      </c>
      <c r="F58" s="9" t="n">
        <v>5.1</v>
      </c>
      <c r="G58" s="9" t="n">
        <v>5</v>
      </c>
      <c r="H58" s="9" t="n">
        <v>5.5</v>
      </c>
      <c r="I58" s="9" t="n">
        <v>5.02</v>
      </c>
      <c r="J58" s="9" t="n">
        <v>-0</v>
      </c>
      <c r="K58" s="9" t="n">
        <v>0</v>
      </c>
      <c r="L58" s="9" t="n">
        <v>0</v>
      </c>
      <c r="M58" s="9" t="n">
        <v>0</v>
      </c>
      <c r="N58" s="9" t="n">
        <v/>
      </c>
      <c r="O58" s="9" t="n">
        <v/>
      </c>
      <c r="P58" s="9" t="n">
        <v/>
      </c>
      <c r="Q58" s="9" t="n">
        <v/>
      </c>
      <c r="R58" s="9" t="n">
        <v/>
      </c>
      <c r="S58" s="9" t="n">
        <v/>
      </c>
      <c r="T58" s="9" t="n">
        <v>103446532447.918</v>
      </c>
      <c r="U58" s="9" t="n">
        <v>1</v>
      </c>
      <c r="V58" s="9" t="n">
        <v/>
      </c>
      <c r="W58" s="9" t="n">
        <v>-1.507556722888818</v>
      </c>
      <c r="X58" s="9" t="n">
        <v>8.639623028847156</v>
      </c>
      <c r="Y58" s="9" t="n">
        <v>10.4982449478977</v>
      </c>
      <c r="Z58" s="9" t="n">
        <v>19.43131988816648</v>
      </c>
      <c r="AA58" s="9" t="n">
        <v>10.79944068110391</v>
      </c>
      <c r="AB58" s="9" t="n">
        <v>18.57730438074062</v>
      </c>
      <c r="AC58" s="9" t="n">
        <v>-13.46885070080024</v>
      </c>
      <c r="AD58" s="9" t="n">
        <v>6111.232380902773</v>
      </c>
      <c r="AE58" s="9" t="n">
        <v>21142.49476631944</v>
      </c>
      <c r="AF58" s="9" t="n">
        <v>43535.17270833333</v>
      </c>
      <c r="AG58" s="9" t="n">
        <v>43535.17270833333</v>
      </c>
      <c r="AH58" s="8" t="inlineStr">
        <is>
          <t>Moderate (5.0-5.9)</t>
        </is>
      </c>
    </row>
    <row r="59">
      <c r="A59" s="8" t="inlineStr">
        <is>
          <t>2014-01-02 09:56:11.120</t>
        </is>
      </c>
      <c r="B59" s="8" t="n">
        <v>2014</v>
      </c>
      <c r="C59" s="9" t="n">
        <v>10.454</v>
      </c>
      <c r="D59" s="9" t="n">
        <v>126.644</v>
      </c>
      <c r="E59" s="8" t="n">
        <v>15</v>
      </c>
      <c r="F59" s="9" t="n">
        <v>5.1</v>
      </c>
      <c r="G59" s="9" t="n">
        <v>3</v>
      </c>
      <c r="H59" s="9" t="n">
        <v>4.9</v>
      </c>
      <c r="I59" s="9" t="n">
        <v>4.566666666666666</v>
      </c>
      <c r="J59" s="9" t="n">
        <v>0.468595834311766</v>
      </c>
      <c r="K59" s="9" t="n">
        <v>2.362381390925563</v>
      </c>
      <c r="L59" s="9" t="n">
        <v>0.12139620214927</v>
      </c>
      <c r="M59" s="9" t="n">
        <v>0.08684467055974961</v>
      </c>
      <c r="N59" s="9" t="n">
        <v>0.8405699649740359</v>
      </c>
      <c r="O59" s="9" t="n">
        <v>3.923458111113209</v>
      </c>
      <c r="P59" s="9" t="n">
        <v>0.3906213609673927</v>
      </c>
      <c r="Q59" s="9" t="n">
        <v>0.1715772939577956</v>
      </c>
      <c r="R59" s="9" t="n">
        <v>-0.1414050188799249</v>
      </c>
      <c r="S59" s="9" t="n">
        <v>0.2323836508548105</v>
      </c>
      <c r="T59" s="9" t="n">
        <v>31194309216.75377</v>
      </c>
      <c r="U59" s="9" t="n">
        <v>0.0392837100659191</v>
      </c>
      <c r="V59" s="9" t="n">
        <v>0.003008085007255</v>
      </c>
      <c r="W59" s="9" t="n">
        <v>-0.6123724356957945</v>
      </c>
      <c r="X59" s="9" t="n">
        <v>1.895216083342026</v>
      </c>
      <c r="Y59" s="9" t="n">
        <v>14.9510324497217</v>
      </c>
      <c r="Z59" s="9" t="n">
        <v>20.40992984550177</v>
      </c>
      <c r="AA59" s="9" t="n">
        <v>7.333749040623904</v>
      </c>
      <c r="AB59" s="9" t="n">
        <v>17.15787628546317</v>
      </c>
      <c r="AC59" s="9" t="n">
        <v>0.4685541871041295</v>
      </c>
      <c r="AD59" s="9" t="n">
        <v>488.8533502314822</v>
      </c>
      <c r="AE59" s="9" t="n">
        <v>488.861995601852</v>
      </c>
      <c r="AF59" s="9" t="n">
        <v>488.8810152777805</v>
      </c>
      <c r="AG59" s="9" t="n">
        <v>488.8810152777805</v>
      </c>
      <c r="AH59" s="8" t="inlineStr">
        <is>
          <t>Moderate (5.0-5.9)</t>
        </is>
      </c>
    </row>
    <row r="60">
      <c r="A60" s="8" t="inlineStr">
        <is>
          <t>2014-01-02 09:56:13.480</t>
        </is>
      </c>
      <c r="B60" s="8" t="n">
        <v>2014</v>
      </c>
      <c r="C60" s="9" t="n">
        <v>10.449</v>
      </c>
      <c r="D60" s="9" t="n">
        <v>126.44</v>
      </c>
      <c r="E60" s="8" t="n">
        <v>20</v>
      </c>
      <c r="F60" s="9" t="n">
        <v>5.1</v>
      </c>
      <c r="G60" s="9" t="n">
        <v>4</v>
      </c>
      <c r="H60" s="9" t="n">
        <v>5.1</v>
      </c>
      <c r="I60" s="9" t="n">
        <v>4.699999999999999</v>
      </c>
      <c r="J60" s="9" t="n">
        <v>0.5272037518906234</v>
      </c>
      <c r="K60" s="9" t="n">
        <v>2.794850668785404</v>
      </c>
      <c r="L60" s="9" t="n">
        <v>0.1380982614169678</v>
      </c>
      <c r="M60" s="9" t="n">
        <v>0.1001380361140494</v>
      </c>
      <c r="N60" s="9" t="n">
        <v>0.6681453567742341</v>
      </c>
      <c r="O60" s="9" t="n">
        <v>3.341455954102322</v>
      </c>
      <c r="P60" s="9" t="n">
        <v>0.221805921289433</v>
      </c>
      <c r="Q60" s="9" t="n">
        <v>0.1478394773767625</v>
      </c>
      <c r="R60" s="9" t="n">
        <v>-0.2012723425481972</v>
      </c>
      <c r="S60" s="9" t="n">
        <v>0.0989086652720718</v>
      </c>
      <c r="T60" s="9" t="n">
        <v>49866282956.99079</v>
      </c>
      <c r="U60" s="9" t="n">
        <v>0.0262052763726566</v>
      </c>
      <c r="V60" s="9" t="n">
        <v>0.0098983756072038</v>
      </c>
      <c r="W60" s="9" t="n">
        <v>-1.154700538379252</v>
      </c>
      <c r="X60" s="9" t="n">
        <v>2.708664000977973</v>
      </c>
      <c r="Y60" s="9" t="n">
        <v>7.45004706162952</v>
      </c>
      <c r="Z60" s="9" t="n">
        <v>17.16995914953371</v>
      </c>
      <c r="AA60" s="9" t="n">
        <v>8.823012926630851</v>
      </c>
      <c r="AB60" s="9" t="n">
        <v>11.71626386863682</v>
      </c>
      <c r="AC60" s="9" t="n">
        <v>-1.344237273756737</v>
      </c>
      <c r="AD60" s="9" t="n">
        <v>488.8533775462929</v>
      </c>
      <c r="AE60" s="9" t="n">
        <v>488.8620229166627</v>
      </c>
      <c r="AF60" s="9" t="n">
        <v>488.8810425925913</v>
      </c>
      <c r="AG60" s="9" t="n">
        <v>488.8810425925913</v>
      </c>
      <c r="AH60" s="8" t="inlineStr">
        <is>
          <t>Moderate (5.0-5.9)</t>
        </is>
      </c>
    </row>
    <row r="61">
      <c r="A61" s="8" t="inlineStr">
        <is>
          <t>2014-05-30 16:36:22.180</t>
        </is>
      </c>
      <c r="B61" s="8" t="n">
        <v>2014</v>
      </c>
      <c r="C61" s="9" t="n">
        <v>9.423999999999999</v>
      </c>
      <c r="D61" s="9" t="n">
        <v>126.931</v>
      </c>
      <c r="E61" s="8" t="n">
        <v>31</v>
      </c>
      <c r="F61" s="9" t="n">
        <v>5.1</v>
      </c>
      <c r="G61" s="9" t="n">
        <v>6</v>
      </c>
      <c r="H61" s="9" t="n">
        <v>5.6</v>
      </c>
      <c r="I61" s="9" t="n">
        <v>4.716666666666666</v>
      </c>
      <c r="J61" s="9" t="n">
        <v>0.250858329719983</v>
      </c>
      <c r="K61" s="9" t="n">
        <v>1.354634980487909</v>
      </c>
      <c r="L61" s="9" t="n">
        <v>0.0309115095827548</v>
      </c>
      <c r="M61" s="9" t="n">
        <v>0.0868998745153757</v>
      </c>
      <c r="N61" s="9" t="n">
        <v>1.085736204758131</v>
      </c>
      <c r="O61" s="9" t="n">
        <v>5.621137398978823</v>
      </c>
      <c r="P61" s="9" t="n">
        <v>0.579044314814439</v>
      </c>
      <c r="Q61" s="9" t="n">
        <v>0.2679453859948201</v>
      </c>
      <c r="R61" s="9" t="n">
        <v>0.1999999999999957</v>
      </c>
      <c r="S61" s="9" t="n">
        <v>0.4227411277760211</v>
      </c>
      <c r="T61" s="9" t="n">
        <v>115494963142.9136</v>
      </c>
      <c r="U61" s="9" t="n">
        <v>0.1767766952966385</v>
      </c>
      <c r="V61" s="9" t="n">
        <v>0.0005530843701478</v>
      </c>
      <c r="W61" s="9" t="n">
        <v>-1</v>
      </c>
      <c r="X61" s="9" t="n">
        <v>5.556423991156519</v>
      </c>
      <c r="Y61" s="9" t="n">
        <v>18.3797253933389</v>
      </c>
      <c r="Z61" s="9" t="n">
        <v>23.9071669729327</v>
      </c>
      <c r="AA61" s="9" t="n">
        <v>4.889568165701402</v>
      </c>
      <c r="AB61" s="9" t="n">
        <v>20.9235122315404</v>
      </c>
      <c r="AC61" s="9" t="n">
        <v>-83.49400647669152</v>
      </c>
      <c r="AD61" s="9" t="n">
        <v>573.9297335648153</v>
      </c>
      <c r="AE61" s="9" t="n">
        <v>573.9297335648153</v>
      </c>
      <c r="AF61" s="9" t="n">
        <v>22717.23559236111</v>
      </c>
      <c r="AG61" s="9" t="n">
        <v>22717.23559236111</v>
      </c>
      <c r="AH61" s="8" t="inlineStr">
        <is>
          <t>Moderate (5.0-5.9)</t>
        </is>
      </c>
    </row>
    <row r="62">
      <c r="A62" s="8" t="inlineStr">
        <is>
          <t>2014-05-30 18:15:51.370</t>
        </is>
      </c>
      <c r="B62" s="8" t="n">
        <v>2014</v>
      </c>
      <c r="C62" s="9" t="n">
        <v>9.417999999999999</v>
      </c>
      <c r="D62" s="9" t="n">
        <v>126.931</v>
      </c>
      <c r="E62" s="8" t="n">
        <v>7</v>
      </c>
      <c r="F62" s="9" t="n">
        <v>5</v>
      </c>
      <c r="G62" s="9" t="n">
        <v>12</v>
      </c>
      <c r="H62" s="9" t="n">
        <v>5.6</v>
      </c>
      <c r="I62" s="9" t="n">
        <v>4.683333333333334</v>
      </c>
      <c r="J62" s="9" t="n">
        <v>0.7884118934056669</v>
      </c>
      <c r="K62" s="9" t="n">
        <v>4.289677438211744</v>
      </c>
      <c r="L62" s="9" t="n">
        <v>0.1793207722900999</v>
      </c>
      <c r="M62" s="9" t="n">
        <v>0.1203607918000552</v>
      </c>
      <c r="N62" s="9" t="n">
        <v>1.579252661466373</v>
      </c>
      <c r="O62" s="9" t="n">
        <v>8.340398032513193</v>
      </c>
      <c r="P62" s="9" t="n">
        <v>0.7194945379346717</v>
      </c>
      <c r="Q62" s="9" t="n">
        <v>0.4425649539797748</v>
      </c>
      <c r="R62" s="9" t="n">
        <v>0.1590909090909065</v>
      </c>
      <c r="S62" s="9" t="n">
        <v>0.3187690506920297</v>
      </c>
      <c r="T62" s="9" t="n">
        <v>127274056404.5033</v>
      </c>
      <c r="U62" s="9" t="n">
        <v>0.0043128496627882</v>
      </c>
      <c r="V62" s="9" t="n">
        <v>1.82911922994072e-05</v>
      </c>
      <c r="W62" s="9" t="n">
        <v>-1</v>
      </c>
      <c r="X62" s="9" t="n">
        <v>10.52716155183208</v>
      </c>
      <c r="Y62" s="9" t="n">
        <v>12.4353380143305</v>
      </c>
      <c r="Z62" s="9" t="n">
        <v>25.57788650587475</v>
      </c>
      <c r="AA62" s="9" t="n">
        <v>7.776155253423197</v>
      </c>
      <c r="AB62" s="9" t="n">
        <v>22.65002128321513</v>
      </c>
      <c r="AC62" s="9" t="n">
        <v>74.77095088045951</v>
      </c>
      <c r="AD62" s="9" t="n">
        <v>573.9988214120385</v>
      </c>
      <c r="AE62" s="9" t="n">
        <v>573.9988214120385</v>
      </c>
      <c r="AF62" s="9" t="n">
        <v>22717.30468020833</v>
      </c>
      <c r="AG62" s="9" t="n">
        <v>22717.30468020833</v>
      </c>
      <c r="AH62" s="8" t="inlineStr">
        <is>
          <t>Moderate (5.0-5.9)</t>
        </is>
      </c>
    </row>
    <row r="63">
      <c r="A63" s="8" t="inlineStr">
        <is>
          <t>2014-05-31 18:46:50.150</t>
        </is>
      </c>
      <c r="B63" s="8" t="n">
        <v>2014</v>
      </c>
      <c r="C63" s="9" t="n">
        <v>9.385999999999999</v>
      </c>
      <c r="D63" s="9" t="n">
        <v>126.773</v>
      </c>
      <c r="E63" s="8" t="n">
        <v>116</v>
      </c>
      <c r="F63" s="9" t="n">
        <v>5.1</v>
      </c>
      <c r="G63" s="9" t="n">
        <v>19</v>
      </c>
      <c r="H63" s="9" t="n">
        <v>5.6</v>
      </c>
      <c r="I63" s="9" t="n">
        <v>4.594736842105263</v>
      </c>
      <c r="J63" s="9" t="n">
        <v>1.039970834913784</v>
      </c>
      <c r="K63" s="9" t="n">
        <v>5.65438469589328</v>
      </c>
      <c r="L63" s="9" t="n">
        <v>0.2476413918701523</v>
      </c>
      <c r="M63" s="9" t="n">
        <v>0.1543543754267169</v>
      </c>
      <c r="N63" s="9" t="n">
        <v>2.004436070322708</v>
      </c>
      <c r="O63" s="9" t="n">
        <v>10.59988799496491</v>
      </c>
      <c r="P63" s="9" t="n">
        <v>0.9199523538266328</v>
      </c>
      <c r="Q63" s="9" t="n">
        <v>0.6307800043757246</v>
      </c>
      <c r="R63" s="9" t="n">
        <v>0.1629391651526051</v>
      </c>
      <c r="S63" s="9" t="n">
        <v>0.3117854483339215</v>
      </c>
      <c r="T63" s="9" t="n">
        <v>135169307864.9475</v>
      </c>
      <c r="U63" s="9" t="n">
        <v>0.0007587304174670999</v>
      </c>
      <c r="V63" s="9" t="n">
        <v>9.698214581497943e-07</v>
      </c>
      <c r="W63" s="9" t="n">
        <v>-1.420126676228678</v>
      </c>
      <c r="X63" s="9" t="n">
        <v>15.0492064899986</v>
      </c>
      <c r="Y63" s="9" t="n">
        <v>12.4353380143305</v>
      </c>
      <c r="Z63" s="9" t="n">
        <v>27.55214072226511</v>
      </c>
      <c r="AA63" s="9" t="n">
        <v>7.963178872582335</v>
      </c>
      <c r="AB63" s="9" t="n">
        <v>23.79153775016749</v>
      </c>
      <c r="AC63" s="9" t="n">
        <v>9.452340699213892</v>
      </c>
      <c r="AD63" s="9" t="n">
        <v>575.0203350694428</v>
      </c>
      <c r="AE63" s="9" t="n">
        <v>575.0203350694428</v>
      </c>
      <c r="AF63" s="9" t="n">
        <v>22718.32619386573</v>
      </c>
      <c r="AG63" s="9" t="n">
        <v>22718.32619386573</v>
      </c>
      <c r="AH63" s="8" t="inlineStr">
        <is>
          <t>Moderate (5.0-5.9)</t>
        </is>
      </c>
    </row>
    <row r="64">
      <c r="A64" s="8" t="inlineStr">
        <is>
          <t>2014-05-31 19:35:15.930</t>
        </is>
      </c>
      <c r="B64" s="8" t="n">
        <v>2014</v>
      </c>
      <c r="C64" s="9" t="n">
        <v>9.353999999999999</v>
      </c>
      <c r="D64" s="9" t="n">
        <v>126.616</v>
      </c>
      <c r="E64" s="8" t="n">
        <v>1</v>
      </c>
      <c r="F64" s="9" t="n">
        <v>5.5</v>
      </c>
      <c r="G64" s="9" t="n">
        <v>23</v>
      </c>
      <c r="H64" s="9" t="n">
        <v>5.6</v>
      </c>
      <c r="I64" s="9" t="n">
        <v>4.591304347826086</v>
      </c>
      <c r="J64" s="9" t="n">
        <v>1.233017857249838</v>
      </c>
      <c r="K64" s="9" t="n">
        <v>6.713878661319388</v>
      </c>
      <c r="L64" s="9" t="n">
        <v>0.3116092738896517</v>
      </c>
      <c r="M64" s="9" t="n">
        <v>0.1702583752957542</v>
      </c>
      <c r="N64" s="9" t="n">
        <v>1.961329918272757</v>
      </c>
      <c r="O64" s="9" t="n">
        <v>10.45561463955077</v>
      </c>
      <c r="P64" s="9" t="n">
        <v>0.7884478041152543</v>
      </c>
      <c r="Q64" s="9" t="n">
        <v>0.5944008639711564</v>
      </c>
      <c r="R64" s="9" t="n">
        <v>0.1549217946492378</v>
      </c>
      <c r="S64" s="9" t="n">
        <v>0.2691198955663241</v>
      </c>
      <c r="T64" s="9" t="n">
        <v>142477230763.1687</v>
      </c>
      <c r="U64" s="9" t="n">
        <v>0.0001999615194862</v>
      </c>
      <c r="V64" s="9" t="n">
        <v>1.306201701592567e-06</v>
      </c>
      <c r="W64" s="9" t="n">
        <v>-1.53106676397404</v>
      </c>
      <c r="X64" s="9" t="n">
        <v>17.42419735437236</v>
      </c>
      <c r="Y64" s="9" t="n">
        <v>12.4353380143305</v>
      </c>
      <c r="Z64" s="9" t="n">
        <v>28.19614181991487</v>
      </c>
      <c r="AA64" s="9" t="n">
        <v>7.725816686063641</v>
      </c>
      <c r="AB64" s="9" t="n">
        <v>24.56494165341629</v>
      </c>
      <c r="AC64" s="9" t="n">
        <v>6.778741612772967</v>
      </c>
      <c r="AD64" s="9" t="n">
        <v>575.053966782405</v>
      </c>
      <c r="AE64" s="9" t="n">
        <v>575.053966782405</v>
      </c>
      <c r="AF64" s="9" t="n">
        <v>22718.3598255787</v>
      </c>
      <c r="AG64" s="9" t="n">
        <v>22718.3598255787</v>
      </c>
      <c r="AH64" s="8" t="inlineStr">
        <is>
          <t>Moderate (5.0-5.9)</t>
        </is>
      </c>
    </row>
    <row r="65">
      <c r="A65" s="8" t="inlineStr">
        <is>
          <t>2014-05-31 19:44:42.100</t>
        </is>
      </c>
      <c r="B65" s="8" t="n">
        <v>2014</v>
      </c>
      <c r="C65" s="9" t="n">
        <v>9.404</v>
      </c>
      <c r="D65" s="9" t="n">
        <v>126.752</v>
      </c>
      <c r="E65" s="8" t="n">
        <v>80</v>
      </c>
      <c r="F65" s="9" t="n">
        <v>5</v>
      </c>
      <c r="G65" s="9" t="n">
        <v>25</v>
      </c>
      <c r="H65" s="9" t="n">
        <v>5.6</v>
      </c>
      <c r="I65" s="9" t="n">
        <v>4.604</v>
      </c>
      <c r="J65" s="9" t="n">
        <v>0.944875166109544</v>
      </c>
      <c r="K65" s="9" t="n">
        <v>5.39913669462218</v>
      </c>
      <c r="L65" s="9" t="n">
        <v>0.1909712640311137</v>
      </c>
      <c r="M65" s="9" t="n">
        <v>0.1085843678762383</v>
      </c>
      <c r="N65" s="9" t="n">
        <v>0.6847796810092776</v>
      </c>
      <c r="O65" s="9" t="n">
        <v>4.154828261191795</v>
      </c>
      <c r="P65" s="9" t="n">
        <v>0.1003046077637932</v>
      </c>
      <c r="Q65" s="9" t="n">
        <v>0.1518782842528812</v>
      </c>
      <c r="R65" s="9" t="n">
        <v>-0.1141269961118132</v>
      </c>
      <c r="S65" s="9" t="n">
        <v>-0.467394194681872</v>
      </c>
      <c r="T65" s="9" t="n">
        <v>168103814844.0083</v>
      </c>
      <c r="U65" s="9" t="n">
        <v>0.0014634385857452</v>
      </c>
      <c r="V65" s="9" t="n">
        <v>0.0088239077067317</v>
      </c>
      <c r="W65" s="9" t="n">
        <v>-1.547461151475432</v>
      </c>
      <c r="X65" s="9" t="n">
        <v>18.54132150408412</v>
      </c>
      <c r="Y65" s="9" t="n">
        <v>12.4353380143305</v>
      </c>
      <c r="Z65" s="9" t="n">
        <v>29.22456069221521</v>
      </c>
      <c r="AA65" s="9" t="n">
        <v>8.280937950975895</v>
      </c>
      <c r="AB65" s="9" t="n">
        <v>29.65115656119659</v>
      </c>
      <c r="AC65" s="9" t="n">
        <v>8.484029795138783</v>
      </c>
      <c r="AD65" s="9" t="n">
        <v>575.0605196759279</v>
      </c>
      <c r="AE65" s="9" t="n">
        <v>575.0605196759279</v>
      </c>
      <c r="AF65" s="9" t="n">
        <v>22718.36637847222</v>
      </c>
      <c r="AG65" s="9" t="n">
        <v>22718.36637847222</v>
      </c>
      <c r="AH65" s="8" t="inlineStr">
        <is>
          <t>Moderate (5.0-5.9)</t>
        </is>
      </c>
    </row>
    <row r="66">
      <c r="A66" s="8" t="inlineStr">
        <is>
          <t>2014-06-01 19:21:21.490</t>
        </is>
      </c>
      <c r="B66" s="8" t="n">
        <v>2014</v>
      </c>
      <c r="C66" s="9" t="n">
        <v>9.445</v>
      </c>
      <c r="D66" s="9" t="n">
        <v>127.136</v>
      </c>
      <c r="E66" s="8" t="n">
        <v>22</v>
      </c>
      <c r="F66" s="9" t="n">
        <v>5.1</v>
      </c>
      <c r="G66" s="9" t="n">
        <v>34</v>
      </c>
      <c r="H66" s="9" t="n">
        <v>5.6</v>
      </c>
      <c r="I66" s="9" t="n">
        <v>4.541176470588235</v>
      </c>
      <c r="J66" s="9" t="n">
        <v>1.037221304258326</v>
      </c>
      <c r="K66" s="9" t="n">
        <v>5.901367602725502</v>
      </c>
      <c r="L66" s="9" t="n">
        <v>0.1895242763637871</v>
      </c>
      <c r="M66" s="9" t="n">
        <v>0.1124713906595444</v>
      </c>
      <c r="N66" s="9" t="n">
        <v>0.7238241365054201</v>
      </c>
      <c r="O66" s="9" t="n">
        <v>4.420272615034371</v>
      </c>
      <c r="P66" s="9" t="n">
        <v>0.0922971119813229</v>
      </c>
      <c r="Q66" s="9" t="n">
        <v>0.1762130131742447</v>
      </c>
      <c r="R66" s="9" t="n">
        <v>-0.0895935115267647</v>
      </c>
      <c r="S66" s="9" t="n">
        <v>-0.5068322982087672</v>
      </c>
      <c r="T66" s="9" t="n">
        <v>173399331645.132</v>
      </c>
      <c r="U66" s="9" t="n">
        <v>0.0007732787704117</v>
      </c>
      <c r="V66" s="9" t="n">
        <v>0.0067379469990854</v>
      </c>
      <c r="W66" s="9" t="n">
        <v>-2.09919207548013</v>
      </c>
      <c r="X66" s="9" t="n">
        <v>25.68765978179342</v>
      </c>
      <c r="Y66" s="9" t="n">
        <v>12.0933932533445</v>
      </c>
      <c r="Z66" s="9" t="n">
        <v>28.74831478591134</v>
      </c>
      <c r="AA66" s="9" t="n">
        <v>8.112097402654181</v>
      </c>
      <c r="AB66" s="9" t="n">
        <v>29.70423612536229</v>
      </c>
      <c r="AC66" s="9" t="n">
        <v>2.790649204874666</v>
      </c>
      <c r="AD66" s="9" t="n">
        <v>576.0443089120308</v>
      </c>
      <c r="AE66" s="9" t="n">
        <v>576.0443089120308</v>
      </c>
      <c r="AF66" s="9" t="n">
        <v>22719.35016770833</v>
      </c>
      <c r="AG66" s="9" t="n">
        <v>22719.35016770833</v>
      </c>
      <c r="AH66" s="8" t="inlineStr">
        <is>
          <t>Moderate (5.0-5.9)</t>
        </is>
      </c>
    </row>
    <row r="67">
      <c r="A67" s="8" t="inlineStr">
        <is>
          <t>2014-06-02 01:04:06.110</t>
        </is>
      </c>
      <c r="B67" s="8" t="n">
        <v>2014</v>
      </c>
      <c r="C67" s="9" t="n">
        <v>9.499000000000001</v>
      </c>
      <c r="D67" s="9" t="n">
        <v>126.818</v>
      </c>
      <c r="E67" s="8" t="n">
        <v>42</v>
      </c>
      <c r="F67" s="9" t="n">
        <v>5</v>
      </c>
      <c r="G67" s="9" t="n">
        <v>37</v>
      </c>
      <c r="H67" s="9" t="n">
        <v>5.6</v>
      </c>
      <c r="I67" s="9" t="n">
        <v>4.54054054054054</v>
      </c>
      <c r="J67" s="9" t="n">
        <v>1.061115787563635</v>
      </c>
      <c r="K67" s="9" t="n">
        <v>6.047524119010541</v>
      </c>
      <c r="L67" s="9" t="n">
        <v>0.1891957218410495</v>
      </c>
      <c r="M67" s="9" t="n">
        <v>0.122023592794049</v>
      </c>
      <c r="N67" s="9" t="n">
        <v>0.7238241365054201</v>
      </c>
      <c r="O67" s="9" t="n">
        <v>4.455034721293583</v>
      </c>
      <c r="P67" s="9" t="n">
        <v>0.0880342931114146</v>
      </c>
      <c r="Q67" s="9" t="n">
        <v>0.1906437171473898</v>
      </c>
      <c r="R67" s="9" t="n">
        <v>-0.0992122724852722</v>
      </c>
      <c r="S67" s="9" t="n">
        <v>-0.5548579228128885</v>
      </c>
      <c r="T67" s="9" t="n">
        <v>178011387752.9051</v>
      </c>
      <c r="U67" s="9" t="n">
        <v>0.0006556206700437</v>
      </c>
      <c r="V67" s="9" t="n">
        <v>0.0067379469990854</v>
      </c>
      <c r="W67" s="9" t="n">
        <v>-1.910671784128992</v>
      </c>
      <c r="X67" s="9" t="n">
        <v>24.74922848771803</v>
      </c>
      <c r="Y67" s="9" t="n">
        <v>12.0933932533445</v>
      </c>
      <c r="Z67" s="9" t="n">
        <v>29.40922501059661</v>
      </c>
      <c r="AA67" s="9" t="n">
        <v>8.264076229157428</v>
      </c>
      <c r="AB67" s="9" t="n">
        <v>29.8644194172485</v>
      </c>
      <c r="AC67" s="9" t="n">
        <v>3.63692295709262</v>
      </c>
      <c r="AD67" s="9" t="n">
        <v>576.2823253472234</v>
      </c>
      <c r="AE67" s="9" t="n">
        <v>576.2823253472234</v>
      </c>
      <c r="AF67" s="9" t="n">
        <v>22719.58818414352</v>
      </c>
      <c r="AG67" s="9" t="n">
        <v>22719.58818414352</v>
      </c>
      <c r="AH67" s="8" t="inlineStr">
        <is>
          <t>Moderate (5.0-5.9)</t>
        </is>
      </c>
    </row>
    <row r="68">
      <c r="A68" s="8" t="inlineStr">
        <is>
          <t>2014-06-11 09:08:20.890</t>
        </is>
      </c>
      <c r="B68" s="8" t="n">
        <v>2014</v>
      </c>
      <c r="C68" s="9" t="n">
        <v>9.706</v>
      </c>
      <c r="D68" s="9" t="n">
        <v>125.786</v>
      </c>
      <c r="E68" s="8" t="n">
        <v>20</v>
      </c>
      <c r="F68" s="9" t="n">
        <v>5</v>
      </c>
      <c r="G68" s="9" t="n">
        <v>5</v>
      </c>
      <c r="H68" s="9" t="n">
        <v>5.5</v>
      </c>
      <c r="I68" s="9" t="n">
        <v>4.720000000000001</v>
      </c>
      <c r="J68" s="9" t="n">
        <v>0.6163616039971713</v>
      </c>
      <c r="K68" s="9" t="n">
        <v>3.26921368559713</v>
      </c>
      <c r="L68" s="9" t="n">
        <v>0.2075097663428603</v>
      </c>
      <c r="M68" s="9" t="n">
        <v>0.0872830132135458</v>
      </c>
      <c r="N68" s="9" t="n">
        <v>0.6948711710452029</v>
      </c>
      <c r="O68" s="9" t="n">
        <v>3.590006026822335</v>
      </c>
      <c r="P68" s="9" t="n">
        <v>0.263739984253189</v>
      </c>
      <c r="Q68" s="9" t="n">
        <v>0.1079409558921686</v>
      </c>
      <c r="R68" s="9" t="n">
        <v>0.1959485075061007</v>
      </c>
      <c r="S68" s="9" t="n">
        <v>0.333566024300068</v>
      </c>
      <c r="T68" s="9" t="n">
        <v>94865924608.69974</v>
      </c>
      <c r="U68" s="9" t="n">
        <v>0.0141551732107685</v>
      </c>
      <c r="V68" s="9" t="n">
        <v>0.008229747049020001</v>
      </c>
      <c r="W68" s="9" t="n">
        <v>-0.5222329678670935</v>
      </c>
      <c r="X68" s="9" t="n">
        <v>4.470720159908056</v>
      </c>
      <c r="Y68" s="9" t="n">
        <v>13.4698629513387</v>
      </c>
      <c r="Z68" s="9" t="n">
        <v>35.49023338977717</v>
      </c>
      <c r="AA68" s="9" t="n">
        <v>13.78938673337704</v>
      </c>
      <c r="AB68" s="9" t="n">
        <v>41.12052057469206</v>
      </c>
      <c r="AC68" s="9" t="n">
        <v>-1.628515828743018</v>
      </c>
      <c r="AD68" s="9" t="n">
        <v>585.6186075231453</v>
      </c>
      <c r="AE68" s="9" t="n">
        <v>585.6186075231453</v>
      </c>
      <c r="AF68" s="9" t="n">
        <v>22728.92446631944</v>
      </c>
      <c r="AG68" s="9" t="n">
        <v>22728.92446631944</v>
      </c>
      <c r="AH68" s="8" t="inlineStr">
        <is>
          <t>Moderate (5.0-5.9)</t>
        </is>
      </c>
    </row>
    <row r="69">
      <c r="A69" s="8" t="inlineStr">
        <is>
          <t>2014-08-07 05:24:52.880</t>
        </is>
      </c>
      <c r="B69" s="8" t="n">
        <v>2014</v>
      </c>
      <c r="C69" s="9" t="n">
        <v>4.471</v>
      </c>
      <c r="D69" s="9" t="n">
        <v>126.286</v>
      </c>
      <c r="E69" s="8" t="n">
        <v>43</v>
      </c>
      <c r="F69" s="9" t="n">
        <v>5</v>
      </c>
      <c r="G69" s="9" t="n">
        <v>9</v>
      </c>
      <c r="H69" s="9" t="n">
        <v>4.5</v>
      </c>
      <c r="I69" s="9" t="n">
        <v>4.211111111111112</v>
      </c>
      <c r="J69" s="9" t="n">
        <v>2.38560627359831</v>
      </c>
      <c r="K69" s="9" t="n">
        <v>10.81474844031234</v>
      </c>
      <c r="L69" s="9" t="n">
        <v>0.7695943641850155</v>
      </c>
      <c r="M69" s="9" t="n">
        <v>0.1377330424242455</v>
      </c>
      <c r="N69" s="9" t="n">
        <v>2.368878992199552</v>
      </c>
      <c r="O69" s="9" t="n">
        <v>10.66330092117774</v>
      </c>
      <c r="P69" s="9" t="n">
        <v>0.7588397902124736</v>
      </c>
      <c r="Q69" s="9" t="n">
        <v>0.1584217612034713</v>
      </c>
      <c r="R69" s="9" t="n">
        <v>-0.0333333333333349</v>
      </c>
      <c r="S69" s="9" t="n">
        <v>-0.0014122529224875</v>
      </c>
      <c r="T69" s="9" t="n">
        <v>20984645566.75555</v>
      </c>
      <c r="U69" s="9" t="n">
        <v>6.969171937625721e-08</v>
      </c>
      <c r="V69" s="9" t="n">
        <v>7.822814343740165e-08</v>
      </c>
      <c r="W69" s="9" t="n">
        <v>1.083472677771923</v>
      </c>
      <c r="X69" s="9" t="n">
        <v>6.87218282218995</v>
      </c>
      <c r="Y69" s="9" t="n">
        <v>86.0776448559954</v>
      </c>
      <c r="Z69" s="9" t="n">
        <v>103.3418589007376</v>
      </c>
      <c r="AA69" s="9" t="n">
        <v>19.11970911681226</v>
      </c>
      <c r="AB69" s="9" t="n">
        <v>104.751764406953</v>
      </c>
      <c r="AC69" s="9" t="n">
        <v>-0.9087790432818886</v>
      </c>
      <c r="AD69" s="9" t="n">
        <v>1712.468447916675</v>
      </c>
      <c r="AE69" s="9" t="n">
        <v>27460.07748703704</v>
      </c>
      <c r="AF69" s="9" t="n">
        <v>27460.07748703704</v>
      </c>
      <c r="AG69" s="9" t="n">
        <v>37035.86102870371</v>
      </c>
      <c r="AH69" s="8" t="inlineStr">
        <is>
          <t>Moderate (5.0-5.9)</t>
        </is>
      </c>
    </row>
    <row r="70">
      <c r="A70" s="8" t="inlineStr">
        <is>
          <t>2014-08-10 13:33:23.300</t>
        </is>
      </c>
      <c r="B70" s="8" t="n">
        <v>2014</v>
      </c>
      <c r="C70" s="9" t="n">
        <v>5.933</v>
      </c>
      <c r="D70" s="9" t="n">
        <v>127.132</v>
      </c>
      <c r="E70" s="8" t="n">
        <v>99</v>
      </c>
      <c r="F70" s="9" t="n">
        <v>5.5</v>
      </c>
      <c r="G70" s="9" t="n">
        <v>8</v>
      </c>
      <c r="H70" s="9" t="n">
        <v>4.7</v>
      </c>
      <c r="I70" s="9" t="n">
        <v>4.2375</v>
      </c>
      <c r="J70" s="9" t="n">
        <v>2.802383724687625e-17</v>
      </c>
      <c r="K70" s="9" t="n">
        <v>0.3010299956639811</v>
      </c>
      <c r="L70" s="9" t="n">
        <v>1.867720088347696e-34</v>
      </c>
      <c r="M70" s="9" t="n">
        <v>1.861900614935455e-16</v>
      </c>
      <c r="N70" s="9" t="n">
        <v>0.9650988486738924</v>
      </c>
      <c r="O70" s="9" t="n">
        <v>4.450955044961719</v>
      </c>
      <c r="P70" s="9" t="n">
        <v>0.221513490619257</v>
      </c>
      <c r="Q70" s="9" t="n">
        <v>0.2575008450959094</v>
      </c>
      <c r="R70" s="9" t="n">
        <v>-1.074192634691868e+16</v>
      </c>
      <c r="S70" s="9" t="n">
        <v>0.0880837687480244</v>
      </c>
      <c r="T70" s="9" t="n">
        <v>26772690517.05753</v>
      </c>
      <c r="U70" s="9" t="n">
        <v>0.9999999999999998</v>
      </c>
      <c r="V70" s="9" t="n">
        <v>0.0012726338013398</v>
      </c>
      <c r="W70" s="9" t="n">
        <v>-3.360672201667224</v>
      </c>
      <c r="X70" s="9" t="n">
        <v>6.815229386470329</v>
      </c>
      <c r="Y70" s="9" t="n">
        <v>15.3672524176835</v>
      </c>
      <c r="Z70" s="9" t="n">
        <v>68.9127258725413</v>
      </c>
      <c r="AA70" s="9" t="n">
        <v>28.86643334443309</v>
      </c>
      <c r="AB70" s="9" t="n">
        <v>58.20919915008439</v>
      </c>
      <c r="AC70" s="9" t="n">
        <v>-7.506522951724868</v>
      </c>
      <c r="AD70" s="9" t="n">
        <v>27.2315195601841</v>
      </c>
      <c r="AE70" s="9" t="n">
        <v>2546.991019675923</v>
      </c>
      <c r="AF70" s="9" t="n">
        <v>5821.205434027768</v>
      </c>
      <c r="AG70" s="9" t="n">
        <v>20774.21687847222</v>
      </c>
      <c r="AH70" s="8" t="inlineStr">
        <is>
          <t>Moderate (5.0-5.9)</t>
        </is>
      </c>
    </row>
    <row r="71">
      <c r="A71" s="8" t="inlineStr">
        <is>
          <t>2014-09-20 04:26:09.940</t>
        </is>
      </c>
      <c r="B71" s="8" t="n">
        <v>2014</v>
      </c>
      <c r="C71" s="9" t="n">
        <v>6.747</v>
      </c>
      <c r="D71" s="9" t="n">
        <v>124.979</v>
      </c>
      <c r="E71" s="8" t="n">
        <v>15</v>
      </c>
      <c r="F71" s="9" t="n">
        <v>6.2</v>
      </c>
      <c r="G71" s="9" t="n">
        <v>3</v>
      </c>
      <c r="H71" s="9" t="n">
        <v>5</v>
      </c>
      <c r="I71" s="9" t="n">
        <v>4.533333333333333</v>
      </c>
      <c r="J71" s="9" t="n">
        <v>0.4631705667794674</v>
      </c>
      <c r="K71" s="9" t="n">
        <v>2.291840389480653</v>
      </c>
      <c r="L71" s="9" t="n">
        <v>0.1433822146709598</v>
      </c>
      <c r="M71" s="9" t="n">
        <v>0.0783760498146345</v>
      </c>
      <c r="N71" s="9" t="n">
        <v>0.7445048261198607</v>
      </c>
      <c r="O71" s="9" t="n">
        <v>3.455140559199105</v>
      </c>
      <c r="P71" s="9" t="n">
        <v>0.3704660476877737</v>
      </c>
      <c r="Q71" s="9" t="n">
        <v>0.1626410574170627</v>
      </c>
      <c r="R71" s="9" t="n">
        <v>0.0518436319985715</v>
      </c>
      <c r="S71" s="9" t="n">
        <v>0.3591428316102698</v>
      </c>
      <c r="T71" s="9" t="n">
        <v>34733197430.13792</v>
      </c>
      <c r="U71" s="9" t="n">
        <v>0.0407838574034127</v>
      </c>
      <c r="V71" s="9" t="n">
        <v>0.0058409773431952</v>
      </c>
      <c r="W71" s="9" t="n">
        <v>-1</v>
      </c>
      <c r="X71" s="9" t="n">
        <v>4.308100197271101</v>
      </c>
      <c r="Y71" s="9" t="n">
        <v>9.910541663715019</v>
      </c>
      <c r="Z71" s="9" t="n">
        <v>11.18804963750874</v>
      </c>
      <c r="AA71" s="9" t="n">
        <v>1.38766379014093</v>
      </c>
      <c r="AB71" s="9" t="n">
        <v>10.1896397083976</v>
      </c>
      <c r="AC71" s="9" t="n">
        <v>10.16003632103598</v>
      </c>
      <c r="AD71" s="9" t="n">
        <v>8338.657881249994</v>
      </c>
      <c r="AE71" s="9" t="n">
        <v>23884.12682800925</v>
      </c>
      <c r="AF71" s="9" t="n">
        <v>23884.12682800925</v>
      </c>
      <c r="AG71" s="9" t="n">
        <v>43535.17270833333</v>
      </c>
      <c r="AH71" s="8" t="inlineStr">
        <is>
          <t>Strong (6.0-6.9)</t>
        </is>
      </c>
    </row>
    <row r="72">
      <c r="A72" s="8" t="inlineStr">
        <is>
          <t>2014-11-10 04:41:15.190</t>
        </is>
      </c>
      <c r="B72" s="8" t="n">
        <v>2014</v>
      </c>
      <c r="C72" s="9" t="n">
        <v>10.029</v>
      </c>
      <c r="D72" s="9" t="n">
        <v>126.837</v>
      </c>
      <c r="E72" s="8" t="n">
        <v>7</v>
      </c>
      <c r="F72" s="9" t="n">
        <v>5.5</v>
      </c>
      <c r="G72" s="9" t="n">
        <v>3</v>
      </c>
      <c r="H72" s="9" t="n">
        <v>5</v>
      </c>
      <c r="I72" s="9" t="n">
        <v>4.566666666666666</v>
      </c>
      <c r="J72" s="9" t="n">
        <v>0.5767855668282786</v>
      </c>
      <c r="K72" s="9" t="n">
        <v>2.779321792049452</v>
      </c>
      <c r="L72" s="9" t="n">
        <v>0.1672513291030435</v>
      </c>
      <c r="M72" s="9" t="n">
        <v>0.1212126591060533</v>
      </c>
      <c r="N72" s="9" t="n">
        <v>1.371456258641849</v>
      </c>
      <c r="O72" s="9" t="n">
        <v>6.374383166879612</v>
      </c>
      <c r="P72" s="9" t="n">
        <v>0.9455940494198064</v>
      </c>
      <c r="Q72" s="9" t="n">
        <v>0.241645158947768</v>
      </c>
      <c r="R72" s="9" t="n">
        <v>0.1813603670202184</v>
      </c>
      <c r="S72" s="9" t="n">
        <v>0.3521061085884325</v>
      </c>
      <c r="T72" s="9" t="n">
        <v>33736189240.87351</v>
      </c>
      <c r="U72" s="9" t="n">
        <v>0.018605583705399</v>
      </c>
      <c r="V72" s="9" t="n">
        <v>7.684776196487846e-05</v>
      </c>
      <c r="W72" s="9" t="n">
        <v>1</v>
      </c>
      <c r="X72" s="9" t="n">
        <v>0.3548505750402985</v>
      </c>
      <c r="Y72" s="9" t="n">
        <v>14.9310283247333</v>
      </c>
      <c r="Z72" s="9" t="n">
        <v>18.87951657002503</v>
      </c>
      <c r="AA72" s="9" t="n">
        <v>3.542044425029641</v>
      </c>
      <c r="AB72" s="9" t="n">
        <v>15.9512036905046</v>
      </c>
      <c r="AC72" s="9" t="n">
        <v>65.53742391283983</v>
      </c>
      <c r="AD72" s="9" t="n">
        <v>737.4331248842573</v>
      </c>
      <c r="AE72" s="9" t="n">
        <v>737.4331248842573</v>
      </c>
      <c r="AF72" s="9" t="n">
        <v>22880.73898368055</v>
      </c>
      <c r="AG72" s="9" t="n">
        <v>22880.73898368055</v>
      </c>
      <c r="AH72" s="8" t="inlineStr">
        <is>
          <t>Moderate (5.0-5.9)</t>
        </is>
      </c>
    </row>
    <row r="73">
      <c r="A73" s="8" t="inlineStr">
        <is>
          <t>2014-11-18 09:14:49.140</t>
        </is>
      </c>
      <c r="B73" s="8" t="n">
        <v>2014</v>
      </c>
      <c r="C73" s="9" t="n">
        <v>19.508</v>
      </c>
      <c r="D73" s="9" t="n">
        <v>120.635</v>
      </c>
      <c r="E73" s="8" t="n">
        <v>12</v>
      </c>
      <c r="F73" s="9" t="n">
        <v>5.1</v>
      </c>
      <c r="G73" s="9" t="n">
        <v>7</v>
      </c>
      <c r="H73" s="9" t="n">
        <v>5.2</v>
      </c>
      <c r="I73" s="9" t="n">
        <v>4.585714285714286</v>
      </c>
      <c r="J73" s="9" t="n">
        <v>0.6816017924566613</v>
      </c>
      <c r="K73" s="9" t="n">
        <v>3.453449081780416</v>
      </c>
      <c r="L73" s="9" t="n">
        <v>0.136816708364007</v>
      </c>
      <c r="M73" s="9" t="n">
        <v>0.1472428158827209</v>
      </c>
      <c r="N73" s="9" t="n">
        <v>2.0044360703227</v>
      </c>
      <c r="O73" s="9" t="n">
        <v>9.897970785236351</v>
      </c>
      <c r="P73" s="9" t="n">
        <v>1.183210755227768</v>
      </c>
      <c r="Q73" s="9" t="n">
        <v>0.5125043801083591</v>
      </c>
      <c r="R73" s="9" t="n">
        <v>0.1333333333333364</v>
      </c>
      <c r="S73" s="9" t="n">
        <v>0.2619673374552427</v>
      </c>
      <c r="T73" s="9" t="n">
        <v>56803377910.58189</v>
      </c>
      <c r="U73" s="9" t="n">
        <v>0.0090197525388053</v>
      </c>
      <c r="V73" s="9" t="n">
        <v>9.698214581498481e-07</v>
      </c>
      <c r="W73" s="9" t="n">
        <v>-1</v>
      </c>
      <c r="X73" s="9" t="n">
        <v>4.589126794889407</v>
      </c>
      <c r="Y73" s="9" t="n">
        <v>23.7540308752016</v>
      </c>
      <c r="Z73" s="9" t="n">
        <v>36.28805540485363</v>
      </c>
      <c r="AA73" s="9" t="n">
        <v>6.86988434638452</v>
      </c>
      <c r="AB73" s="9" t="n">
        <v>37.15413582410525</v>
      </c>
      <c r="AC73" s="9" t="n">
        <v>-195.4298902708429</v>
      </c>
      <c r="AD73" s="9" t="n">
        <v>1339.033758449077</v>
      </c>
      <c r="AE73" s="9" t="n">
        <v>22149.21781412037</v>
      </c>
      <c r="AF73" s="9" t="n">
        <v>43535.17270833333</v>
      </c>
      <c r="AG73" s="9" t="n">
        <v>43535.17270833333</v>
      </c>
      <c r="AH73" s="8" t="inlineStr">
        <is>
          <t>Moderate (5.0-5.9)</t>
        </is>
      </c>
    </row>
    <row r="74">
      <c r="A74" s="8" t="inlineStr">
        <is>
          <t>2014-11-29 15:36:16.110</t>
        </is>
      </c>
      <c r="B74" s="8" t="n">
        <v>2014</v>
      </c>
      <c r="C74" s="9" t="n">
        <v>20.077</v>
      </c>
      <c r="D74" s="9" t="n">
        <v>121.206</v>
      </c>
      <c r="E74" s="8" t="n">
        <v>31</v>
      </c>
      <c r="F74" s="9" t="n">
        <v>5.5</v>
      </c>
      <c r="G74" s="9" t="n">
        <v>10</v>
      </c>
      <c r="H74" s="9" t="n">
        <v>5.2</v>
      </c>
      <c r="I74" s="9" t="n">
        <v>4.59</v>
      </c>
      <c r="J74" s="9" t="n">
        <v>0.8600857018970903</v>
      </c>
      <c r="K74" s="9" t="n">
        <v>4.558454220054578</v>
      </c>
      <c r="L74" s="9" t="n">
        <v>0.185429526741038</v>
      </c>
      <c r="M74" s="9" t="n">
        <v>0.0928998735400524</v>
      </c>
      <c r="N74" s="9" t="n">
        <v>1.158118618408672</v>
      </c>
      <c r="O74" s="9" t="n">
        <v>5.929405636007853</v>
      </c>
      <c r="P74" s="9" t="n">
        <v>0.3362029509501497</v>
      </c>
      <c r="Q74" s="9" t="n">
        <v>0.1512153312937025</v>
      </c>
      <c r="R74" s="9" t="n">
        <v>-0.0999999999999996</v>
      </c>
      <c r="S74" s="9" t="n">
        <v>0.0801396145800401</v>
      </c>
      <c r="T74" s="9" t="n">
        <v>69844938649.73059</v>
      </c>
      <c r="U74" s="9" t="n">
        <v>0.002628711313735</v>
      </c>
      <c r="V74" s="9" t="n">
        <v>0.0003354626279025</v>
      </c>
      <c r="W74" s="9" t="n">
        <v>1.138989594902999</v>
      </c>
      <c r="X74" s="9" t="n">
        <v>8.982843570796751</v>
      </c>
      <c r="Y74" s="9" t="n">
        <v>23.7540308752016</v>
      </c>
      <c r="Z74" s="9" t="n">
        <v>36.67967956829069</v>
      </c>
      <c r="AA74" s="9" t="n">
        <v>6.295282675541408</v>
      </c>
      <c r="AB74" s="9" t="n">
        <v>38.9397586184569</v>
      </c>
      <c r="AC74" s="9" t="n">
        <v>-0.4167376382396945</v>
      </c>
      <c r="AD74" s="9" t="n">
        <v>2372.568677430558</v>
      </c>
      <c r="AE74" s="9" t="n">
        <v>22160.48270960648</v>
      </c>
      <c r="AF74" s="9" t="n">
        <v>43535.17270833333</v>
      </c>
      <c r="AG74" s="9" t="n">
        <v>43535.17270833333</v>
      </c>
      <c r="AH74" s="8" t="inlineStr">
        <is>
          <t>Moderate (5.0-5.9)</t>
        </is>
      </c>
    </row>
    <row r="75">
      <c r="A75" s="8" t="inlineStr">
        <is>
          <t>2015-06-07 15:45:22.930</t>
        </is>
      </c>
      <c r="B75" s="8" t="n">
        <v>2015</v>
      </c>
      <c r="C75" s="9" t="n">
        <v>10.956</v>
      </c>
      <c r="D75" s="9" t="n">
        <v>126.674</v>
      </c>
      <c r="E75" s="8" t="n">
        <v>49</v>
      </c>
      <c r="F75" s="9" t="n">
        <v>5</v>
      </c>
      <c r="G75" s="9" t="n">
        <v>6</v>
      </c>
      <c r="H75" s="9" t="n">
        <v>4.1</v>
      </c>
      <c r="I75" s="9" t="n">
        <v>4.05</v>
      </c>
      <c r="J75" s="9" t="n">
        <v/>
      </c>
      <c r="K75" s="9" t="n">
        <v/>
      </c>
      <c r="L75" s="9" t="n">
        <v/>
      </c>
      <c r="M75" s="9" t="n">
        <v/>
      </c>
      <c r="N75" s="9" t="n">
        <v/>
      </c>
      <c r="O75" s="9" t="n">
        <v/>
      </c>
      <c r="P75" s="9" t="n">
        <v/>
      </c>
      <c r="Q75" s="9" t="n">
        <v/>
      </c>
      <c r="R75" s="9" t="n">
        <v/>
      </c>
      <c r="S75" s="9" t="n">
        <v/>
      </c>
      <c r="T75" s="9" t="n">
        <v>10932144498.88116</v>
      </c>
      <c r="U75" s="9" t="n">
        <v/>
      </c>
      <c r="V75" s="9" t="n">
        <v/>
      </c>
      <c r="W75" s="9" t="n">
        <v>-1.549193338482967</v>
      </c>
      <c r="X75" s="9" t="n">
        <v>7.944644274971296</v>
      </c>
      <c r="Y75" s="9" t="n">
        <v>17.5999031177107</v>
      </c>
      <c r="Z75" s="9" t="n">
        <v>21.33580768271802</v>
      </c>
      <c r="AA75" s="9" t="n">
        <v>5.035235173921641</v>
      </c>
      <c r="AB75" s="9" t="n">
        <v>21.18438220063726</v>
      </c>
      <c r="AC75" s="9" t="n">
        <v>3.478228627398782</v>
      </c>
      <c r="AD75" s="9" t="n">
        <v>1010.095848032404</v>
      </c>
      <c r="AE75" s="9" t="n">
        <v>1010.104493402774</v>
      </c>
      <c r="AF75" s="9" t="n">
        <v>1010.123513078703</v>
      </c>
      <c r="AG75" s="9" t="n">
        <v>1010.123513078703</v>
      </c>
      <c r="AH75" s="8" t="inlineStr">
        <is>
          <t>Moderate (5.0-5.9)</t>
        </is>
      </c>
    </row>
    <row r="76">
      <c r="A76" s="8" t="inlineStr">
        <is>
          <t>2015-06-15 21:04:17.340</t>
        </is>
      </c>
      <c r="B76" s="8" t="n">
        <v>2015</v>
      </c>
      <c r="C76" s="9" t="n">
        <v>3.816</v>
      </c>
      <c r="D76" s="9" t="n">
        <v>126.165</v>
      </c>
      <c r="E76" s="8" t="n">
        <v>28</v>
      </c>
      <c r="F76" s="9" t="n">
        <v>5.8</v>
      </c>
      <c r="G76" s="9" t="n">
        <v>3</v>
      </c>
      <c r="H76" s="9" t="n">
        <v>4.7</v>
      </c>
      <c r="I76" s="9" t="n">
        <v>4.433333333333333</v>
      </c>
      <c r="J76" s="9" t="n">
        <v>0.3976010455997182</v>
      </c>
      <c r="K76" s="9" t="n">
        <v>2.014977201946718</v>
      </c>
      <c r="L76" s="9" t="n">
        <v>0.0794759713855137</v>
      </c>
      <c r="M76" s="9" t="n">
        <v>0.0872431826260663</v>
      </c>
      <c r="N76" s="9" t="n">
        <v>0.8985403073860397</v>
      </c>
      <c r="O76" s="9" t="n">
        <v>4.071282484263821</v>
      </c>
      <c r="P76" s="9" t="n">
        <v>0.4058970889899533</v>
      </c>
      <c r="Q76" s="9" t="n">
        <v>0.1997408653381692</v>
      </c>
      <c r="R76" s="9" t="n">
        <v>-0.367836778214313</v>
      </c>
      <c r="S76" s="9" t="n">
        <v>0.1690040604770812</v>
      </c>
      <c r="T76" s="9" t="n">
        <v>22244058848.00698</v>
      </c>
      <c r="U76" s="9" t="n">
        <v>0.06415002990995861</v>
      </c>
      <c r="V76" s="9" t="n">
        <v>0.002015482714507</v>
      </c>
      <c r="W76" s="9" t="n">
        <v>-1</v>
      </c>
      <c r="X76" s="9" t="n">
        <v>2.045093304647569</v>
      </c>
      <c r="Y76" s="9" t="n">
        <v>178.228722830236</v>
      </c>
      <c r="Z76" s="9" t="n">
        <v>186.7929878257524</v>
      </c>
      <c r="AA76" s="9" t="n">
        <v>7.438955389020046</v>
      </c>
      <c r="AB76" s="9" t="n">
        <v>185.7240307765549</v>
      </c>
      <c r="AC76" s="9" t="n">
        <v>-46.61139694905334</v>
      </c>
      <c r="AD76" s="9" t="n">
        <v>2315.145420601853</v>
      </c>
      <c r="AE76" s="9" t="n">
        <v>2315.145420601853</v>
      </c>
      <c r="AF76" s="9" t="n">
        <v>2315.145420601853</v>
      </c>
      <c r="AG76" s="9" t="n">
        <v>2315.145420601853</v>
      </c>
      <c r="AH76" s="8" t="inlineStr">
        <is>
          <t>Moderate (5.0-5.9)</t>
        </is>
      </c>
    </row>
    <row r="77">
      <c r="A77" s="8" t="inlineStr">
        <is>
          <t>2016-10-14 18:29:03.910</t>
        </is>
      </c>
      <c r="B77" s="8" t="n">
        <v>2016</v>
      </c>
      <c r="C77" s="9" t="n">
        <v>9.096</v>
      </c>
      <c r="D77" s="9" t="n">
        <v>125.469</v>
      </c>
      <c r="E77" s="8" t="n">
        <v>34</v>
      </c>
      <c r="F77" s="9" t="n">
        <v>5.3</v>
      </c>
      <c r="G77" s="9" t="n">
        <v>5</v>
      </c>
      <c r="H77" s="9" t="n">
        <v>4.9</v>
      </c>
      <c r="I77" s="9" t="n">
        <v>4.5</v>
      </c>
      <c r="J77" s="9" t="n">
        <v>1.245507575485526</v>
      </c>
      <c r="K77" s="9" t="n">
        <v>6.012516451953355</v>
      </c>
      <c r="L77" s="9" t="n">
        <v>0.465205717241841</v>
      </c>
      <c r="M77" s="9" t="n">
        <v>0.0889873715594377</v>
      </c>
      <c r="N77" s="9" t="n">
        <v>1.240841376866435</v>
      </c>
      <c r="O77" s="9" t="n">
        <v>5.937677911853633</v>
      </c>
      <c r="P77" s="9" t="n">
        <v>0.4617265316338254</v>
      </c>
      <c r="Q77" s="9" t="n">
        <v>0.1420287489130883</v>
      </c>
      <c r="R77" s="9" t="n">
        <v>0.07263758945059259</v>
      </c>
      <c r="S77" s="9" t="n">
        <v>0.1147969736080387</v>
      </c>
      <c r="T77" s="9" t="n">
        <v>32928661790.05461</v>
      </c>
      <c r="U77" s="9" t="n">
        <v>0.0001834329174893</v>
      </c>
      <c r="V77" s="9" t="n">
        <v>0.0001894418252328</v>
      </c>
      <c r="W77" s="9" t="n">
        <v>-0.5222329678670935</v>
      </c>
      <c r="X77" s="9" t="n">
        <v>5.289016160489034</v>
      </c>
      <c r="Y77" s="9" t="n">
        <v>3.07432736131485</v>
      </c>
      <c r="Z77" s="9" t="n">
        <v>21.41880512895406</v>
      </c>
      <c r="AA77" s="9" t="n">
        <v>27.4165243648339</v>
      </c>
      <c r="AB77" s="9" t="n">
        <v>14.92905296358561</v>
      </c>
      <c r="AC77" s="9" t="n">
        <v>-2.132243471453902</v>
      </c>
      <c r="AD77" s="9" t="n">
        <v>40.66031875000044</v>
      </c>
      <c r="AE77" s="9" t="n">
        <v>38446.59823969907</v>
      </c>
      <c r="AF77" s="9" t="n">
        <v>38446.59823969907</v>
      </c>
      <c r="AG77" s="9" t="n">
        <v>38446.59823969907</v>
      </c>
      <c r="AH77" s="8" t="inlineStr">
        <is>
          <t>Moderate (5.0-5.9)</t>
        </is>
      </c>
    </row>
    <row r="78">
      <c r="A78" s="8" t="inlineStr">
        <is>
          <t>2016-12-19 20:44:40.400</t>
        </is>
      </c>
      <c r="B78" s="8" t="n">
        <v>2016</v>
      </c>
      <c r="C78" s="9" t="n">
        <v>10.236</v>
      </c>
      <c r="D78" s="9" t="n">
        <v>125.934</v>
      </c>
      <c r="E78" s="8" t="n">
        <v>41</v>
      </c>
      <c r="F78" s="9" t="n">
        <v>5.4</v>
      </c>
      <c r="G78" s="9" t="n">
        <v>3</v>
      </c>
      <c r="H78" s="9" t="n">
        <v>5</v>
      </c>
      <c r="I78" s="9" t="n">
        <v>4.5</v>
      </c>
      <c r="J78" s="9" t="n">
        <v>0.5339115895416172</v>
      </c>
      <c r="K78" s="9" t="n">
        <v>2.56731885658552</v>
      </c>
      <c r="L78" s="9" t="n">
        <v>0.1734664745889393</v>
      </c>
      <c r="M78" s="9" t="n">
        <v>0.09057087550352109</v>
      </c>
      <c r="N78" s="9" t="n">
        <v>0.9650988486738924</v>
      </c>
      <c r="O78" s="9" t="n">
        <v>4.434026534282621</v>
      </c>
      <c r="P78" s="9" t="n">
        <v>0.566787744541416</v>
      </c>
      <c r="Q78" s="9" t="n">
        <v>0.1808722139639629</v>
      </c>
      <c r="R78" s="9" t="n">
        <v>0.191490675844558</v>
      </c>
      <c r="S78" s="9" t="n">
        <v>0.405624470099351</v>
      </c>
      <c r="T78" s="9" t="n">
        <v>33274084604.99649</v>
      </c>
      <c r="U78" s="9" t="n">
        <v>0.0250187283352114</v>
      </c>
      <c r="V78" s="9" t="n">
        <v>0.0012726338013398</v>
      </c>
      <c r="W78" s="9" t="n">
        <v>-0.4472135954999578</v>
      </c>
      <c r="X78" s="9" t="n">
        <v>2.493476575328339</v>
      </c>
      <c r="Y78" s="9" t="n">
        <v>3.41821754881351</v>
      </c>
      <c r="Z78" s="9" t="n">
        <v>26.1871561168548</v>
      </c>
      <c r="AA78" s="9" t="n">
        <v>23.11719000929124</v>
      </c>
      <c r="AB78" s="9" t="n">
        <v>45.27846100707588</v>
      </c>
      <c r="AC78" s="9" t="n">
        <v>-0.1744965984223046</v>
      </c>
      <c r="AD78" s="9" t="n">
        <v>535.5842303240861</v>
      </c>
      <c r="AE78" s="9" t="n">
        <v>7014.343471064822</v>
      </c>
      <c r="AF78" s="9" t="n">
        <v>24944.88183333334</v>
      </c>
      <c r="AG78" s="9" t="n">
        <v>43535.17270833333</v>
      </c>
      <c r="AH78" s="8" t="inlineStr">
        <is>
          <t>Moderate (5.0-5.9)</t>
        </is>
      </c>
    </row>
    <row r="79">
      <c r="A79" s="8" t="inlineStr">
        <is>
          <t>2017-04-08 07:07:54.960</t>
        </is>
      </c>
      <c r="B79" s="8" t="n">
        <v>2017</v>
      </c>
      <c r="C79" s="9" t="n">
        <v>13.66</v>
      </c>
      <c r="D79" s="9" t="n">
        <v>120.881</v>
      </c>
      <c r="E79" s="8" t="n">
        <v>8</v>
      </c>
      <c r="F79" s="9" t="n">
        <v>5.8</v>
      </c>
      <c r="G79" s="9" t="n">
        <v>6</v>
      </c>
      <c r="H79" s="9" t="n">
        <v>5.5</v>
      </c>
      <c r="I79" s="9" t="n">
        <v>4.733333333333334</v>
      </c>
      <c r="J79" s="9" t="n">
        <v>-0</v>
      </c>
      <c r="K79" s="9" t="n">
        <v>0</v>
      </c>
      <c r="L79" s="9" t="n">
        <v>0</v>
      </c>
      <c r="M79" s="9" t="n">
        <v>0</v>
      </c>
      <c r="N79" s="9" t="n">
        <v/>
      </c>
      <c r="O79" s="9" t="n">
        <v/>
      </c>
      <c r="P79" s="9" t="n">
        <v/>
      </c>
      <c r="Q79" s="9" t="n">
        <v/>
      </c>
      <c r="R79" s="9" t="n">
        <v/>
      </c>
      <c r="S79" s="9" t="n">
        <v/>
      </c>
      <c r="T79" s="9" t="n">
        <v>97787422613.31351</v>
      </c>
      <c r="U79" s="9" t="n">
        <v>1</v>
      </c>
      <c r="V79" s="9" t="n">
        <v/>
      </c>
      <c r="W79" s="9" t="n">
        <v>-1.549193338482967</v>
      </c>
      <c r="X79" s="9" t="n">
        <v>7.011419402303789</v>
      </c>
      <c r="Y79" s="9" t="n">
        <v>11.527214396713</v>
      </c>
      <c r="Z79" s="9" t="n">
        <v>14.27409077450837</v>
      </c>
      <c r="AA79" s="9" t="n">
        <v>2.57047116485453</v>
      </c>
      <c r="AB79" s="9" t="n">
        <v>13.9332791541993</v>
      </c>
      <c r="AC79" s="9" t="n">
        <v>0.8399742611018751</v>
      </c>
      <c r="AD79" s="9" t="n">
        <v>3115.165818055553</v>
      </c>
      <c r="AE79" s="9" t="n">
        <v>3115.165818055553</v>
      </c>
      <c r="AF79" s="9" t="n">
        <v>8180.494758796292</v>
      </c>
      <c r="AG79" s="9" t="n">
        <v>27393.64410833333</v>
      </c>
      <c r="AH79" s="8" t="inlineStr">
        <is>
          <t>Moderate (5.0-5.9)</t>
        </is>
      </c>
    </row>
    <row r="80">
      <c r="A80" s="8" t="inlineStr">
        <is>
          <t>2017-04-08 07:09:20.530</t>
        </is>
      </c>
      <c r="B80" s="8" t="n">
        <v>2017</v>
      </c>
      <c r="C80" s="9" t="n">
        <v>13.661</v>
      </c>
      <c r="D80" s="9" t="n">
        <v>120.884</v>
      </c>
      <c r="E80" s="8" t="n">
        <v>2</v>
      </c>
      <c r="F80" s="9" t="n">
        <v>6</v>
      </c>
      <c r="G80" s="9" t="n">
        <v>7</v>
      </c>
      <c r="H80" s="9" t="n">
        <v>5.8</v>
      </c>
      <c r="I80" s="9" t="n">
        <v>4.885714285714286</v>
      </c>
      <c r="J80" s="9" t="n">
        <v>0.5375535636856811</v>
      </c>
      <c r="K80" s="9" t="n">
        <v>3.117810669376951</v>
      </c>
      <c r="L80" s="9" t="n">
        <v>0.1503216657427566</v>
      </c>
      <c r="M80" s="9" t="n">
        <v>0.0832774399939636</v>
      </c>
      <c r="N80" s="9" t="n">
        <v>0.7238241365054201</v>
      </c>
      <c r="O80" s="9" t="n">
        <v>3.992533091841624</v>
      </c>
      <c r="P80" s="9" t="n">
        <v>0.2725487601822805</v>
      </c>
      <c r="Q80" s="9" t="n">
        <v>0.148682728982386</v>
      </c>
      <c r="R80" s="9" t="n">
        <v>-8.881784197001252e-16</v>
      </c>
      <c r="S80" s="9" t="n">
        <v>0.2841116916640329</v>
      </c>
      <c r="T80" s="9" t="n">
        <v>192625717532.0479</v>
      </c>
      <c r="U80" s="9" t="n">
        <v>0.0243971619423658</v>
      </c>
      <c r="V80" s="9" t="n">
        <v>0.0067379469990854</v>
      </c>
      <c r="W80" s="9" t="n">
        <v>-1.732050807568877</v>
      </c>
      <c r="X80" s="9" t="n">
        <v>8.016485235359784</v>
      </c>
      <c r="Y80" s="9" t="n">
        <v>11.527214396713</v>
      </c>
      <c r="Z80" s="9" t="n">
        <v>14.12819425208402</v>
      </c>
      <c r="AA80" s="9" t="n">
        <v>2.378045887119466</v>
      </c>
      <c r="AB80" s="9" t="n">
        <v>13.4706178698655</v>
      </c>
      <c r="AC80" s="9" t="n">
        <v>0.3136656681956505</v>
      </c>
      <c r="AD80" s="9" t="n">
        <v>3115.166808449074</v>
      </c>
      <c r="AE80" s="9" t="n">
        <v>3115.166808449074</v>
      </c>
      <c r="AF80" s="9" t="n">
        <v>8180.495749189813</v>
      </c>
      <c r="AG80" s="9" t="n">
        <v>27393.64509872685</v>
      </c>
      <c r="AH80" s="8" t="inlineStr">
        <is>
          <t>Strong (6.0-6.9)</t>
        </is>
      </c>
    </row>
    <row r="81">
      <c r="A81" s="8" t="inlineStr">
        <is>
          <t>2017-04-10 11:08:15.530</t>
        </is>
      </c>
      <c r="B81" s="8" t="n">
        <v>2017</v>
      </c>
      <c r="C81" s="9" t="n">
        <v>5.763</v>
      </c>
      <c r="D81" s="9" t="n">
        <v>127.319</v>
      </c>
      <c r="E81" s="8" t="n">
        <v>54</v>
      </c>
      <c r="F81" s="9" t="n">
        <v>5.1</v>
      </c>
      <c r="G81" s="9" t="n">
        <v>4</v>
      </c>
      <c r="H81" s="9" t="n">
        <v>5.7</v>
      </c>
      <c r="I81" s="9" t="n">
        <v>4.575</v>
      </c>
      <c r="J81" s="9" t="n">
        <v>0.3037465273470544</v>
      </c>
      <c r="K81" s="9" t="n">
        <v>1.600020725894522</v>
      </c>
      <c r="L81" s="9" t="n">
        <v>0.0828110990871595</v>
      </c>
      <c r="M81" s="9" t="n">
        <v>0.1127076070342181</v>
      </c>
      <c r="N81" s="9" t="n">
        <v>0.6948711710452029</v>
      </c>
      <c r="O81" s="9" t="n">
        <v>3.381544675508774</v>
      </c>
      <c r="P81" s="9" t="n">
        <v>0.4333856166623833</v>
      </c>
      <c r="Q81" s="9" t="n">
        <v>0.2653485781963806</v>
      </c>
      <c r="R81" s="9" t="n">
        <v>0.4323818320847108</v>
      </c>
      <c r="S81" s="9" t="n">
        <v>0.833566024300068</v>
      </c>
      <c r="T81" s="9" t="n">
        <v>135509181933.8968</v>
      </c>
      <c r="U81" s="9" t="n">
        <v>0.1226762291179042</v>
      </c>
      <c r="V81" s="9" t="n">
        <v>0.008229747049020001</v>
      </c>
      <c r="W81" s="9" t="n">
        <v>-1.154700538379252</v>
      </c>
      <c r="X81" s="9" t="n">
        <v>2.879218743967686</v>
      </c>
      <c r="Y81" s="9" t="n">
        <v>11.7779822455313</v>
      </c>
      <c r="Z81" s="9" t="n">
        <v>50.90740070433627</v>
      </c>
      <c r="AA81" s="9" t="n">
        <v>45.0976273494496</v>
      </c>
      <c r="AB81" s="9" t="n">
        <v>13.49786929349032</v>
      </c>
      <c r="AC81" s="9" t="n">
        <v>-4.740591509865587</v>
      </c>
      <c r="AD81" s="9" t="n">
        <v>3520.890235300925</v>
      </c>
      <c r="AE81" s="9" t="n">
        <v>3520.890235300925</v>
      </c>
      <c r="AF81" s="9" t="n">
        <v>6795.104649652771</v>
      </c>
      <c r="AG81" s="9" t="n">
        <v>21748.11609409722</v>
      </c>
      <c r="AH81" s="8" t="inlineStr">
        <is>
          <t>Moderate (5.0-5.9)</t>
        </is>
      </c>
    </row>
    <row r="82">
      <c r="A82" s="8" t="inlineStr">
        <is>
          <t>2017-04-11 17:41:22.410</t>
        </is>
      </c>
      <c r="B82" s="8" t="n">
        <v>2017</v>
      </c>
      <c r="C82" s="9" t="n">
        <v>5.792</v>
      </c>
      <c r="D82" s="9" t="n">
        <v>127.494</v>
      </c>
      <c r="E82" s="8" t="n">
        <v>31</v>
      </c>
      <c r="F82" s="9" t="n">
        <v>5</v>
      </c>
      <c r="G82" s="9" t="n">
        <v>10</v>
      </c>
      <c r="H82" s="9" t="n">
        <v>5.7</v>
      </c>
      <c r="I82" s="9" t="n">
        <v>4.6</v>
      </c>
      <c r="J82" s="9" t="n">
        <v>0.7006430743896653</v>
      </c>
      <c r="K82" s="9" t="n">
        <v>3.849853416721464</v>
      </c>
      <c r="L82" s="9" t="n">
        <v>0.1874243825332578</v>
      </c>
      <c r="M82" s="9" t="n">
        <v>0.093732668837733</v>
      </c>
      <c r="N82" s="9" t="n">
        <v>0.7896263307331853</v>
      </c>
      <c r="O82" s="9" t="n">
        <v>4.252507105609659</v>
      </c>
      <c r="P82" s="9" t="n">
        <v>0.238054099783669</v>
      </c>
      <c r="Q82" s="9" t="n">
        <v>0.103433572866564</v>
      </c>
      <c r="R82" s="9" t="n">
        <v>0.2052573022646431</v>
      </c>
      <c r="S82" s="9" t="n">
        <v>0.3145322919245696</v>
      </c>
      <c r="T82" s="9" t="n">
        <v>145401583146.2264</v>
      </c>
      <c r="U82" s="9" t="n">
        <v>0.007908074951400799</v>
      </c>
      <c r="V82" s="9" t="n">
        <v>0.0042768203492089</v>
      </c>
      <c r="W82" s="9" t="n">
        <v>-1.758631145281648</v>
      </c>
      <c r="X82" s="9" t="n">
        <v>8.412485310729666</v>
      </c>
      <c r="Y82" s="9" t="n">
        <v>5.13706223501084</v>
      </c>
      <c r="Z82" s="9" t="n">
        <v>13.5268701064612</v>
      </c>
      <c r="AA82" s="9" t="n">
        <v>4.225387313217159</v>
      </c>
      <c r="AB82" s="9" t="n">
        <v>12.46787079401226</v>
      </c>
      <c r="AC82" s="9" t="n">
        <v>-1.367863708133658</v>
      </c>
      <c r="AD82" s="9" t="n">
        <v>3522.163231597224</v>
      </c>
      <c r="AE82" s="9" t="n">
        <v>3522.163231597224</v>
      </c>
      <c r="AF82" s="9" t="n">
        <v>6796.377645949069</v>
      </c>
      <c r="AG82" s="9" t="n">
        <v>21749.38909039352</v>
      </c>
      <c r="AH82" s="8" t="inlineStr">
        <is>
          <t>Moderate (5.0-5.9)</t>
        </is>
      </c>
    </row>
    <row r="83">
      <c r="A83" s="8" t="inlineStr">
        <is>
          <t>2017-04-13 16:05:47.200</t>
        </is>
      </c>
      <c r="B83" s="8" t="n">
        <v>2017</v>
      </c>
      <c r="C83" s="9" t="n">
        <v>5.633</v>
      </c>
      <c r="D83" s="9" t="n">
        <v>127.481</v>
      </c>
      <c r="E83" s="8" t="n">
        <v>9</v>
      </c>
      <c r="F83" s="9" t="n">
        <v>5.2</v>
      </c>
      <c r="G83" s="9" t="n">
        <v>15</v>
      </c>
      <c r="H83" s="9" t="n">
        <v>5.7</v>
      </c>
      <c r="I83" s="9" t="n">
        <v>4.52</v>
      </c>
      <c r="J83" s="9" t="n">
        <v>0.8056221452019534</v>
      </c>
      <c r="K83" s="9" t="n">
        <v>4.436670677257619</v>
      </c>
      <c r="L83" s="9" t="n">
        <v>0.1872410204987115</v>
      </c>
      <c r="M83" s="9" t="n">
        <v>0.1104072686779735</v>
      </c>
      <c r="N83" s="9" t="n">
        <v>0.7090522153522471</v>
      </c>
      <c r="O83" s="9" t="n">
        <v>3.952014513006605</v>
      </c>
      <c r="P83" s="9" t="n">
        <v>0.1450422888322039</v>
      </c>
      <c r="Q83" s="9" t="n">
        <v>0.1125223032450407</v>
      </c>
      <c r="R83" s="9" t="n">
        <v>0.1928640508691153</v>
      </c>
      <c r="S83" s="9" t="n">
        <v>0.1263420557210999</v>
      </c>
      <c r="T83" s="9" t="n">
        <v>149463968601.7305</v>
      </c>
      <c r="U83" s="9" t="n">
        <v>0.0038294249663963</v>
      </c>
      <c r="V83" s="9" t="n">
        <v>0.0074617956970403</v>
      </c>
      <c r="W83" s="9" t="n">
        <v>-2.352187680701925</v>
      </c>
      <c r="X83" s="9" t="n">
        <v>11.4388202645193</v>
      </c>
      <c r="Y83" s="9" t="n">
        <v>5.13706223501084</v>
      </c>
      <c r="Z83" s="9" t="n">
        <v>15.15585836528064</v>
      </c>
      <c r="AA83" s="9" t="n">
        <v>5.605813472566107</v>
      </c>
      <c r="AB83" s="9" t="n">
        <v>12.32985562283105</v>
      </c>
      <c r="AC83" s="9" t="n">
        <v>1.748443058136987</v>
      </c>
      <c r="AD83" s="9" t="n">
        <v>2931.440200462966</v>
      </c>
      <c r="AE83" s="9" t="n">
        <v>3524.096851851857</v>
      </c>
      <c r="AF83" s="9" t="n">
        <v>6798.311266203702</v>
      </c>
      <c r="AG83" s="9" t="n">
        <v>21751.32271064815</v>
      </c>
      <c r="AH83" s="8" t="inlineStr">
        <is>
          <t>Moderate (5.0-5.9)</t>
        </is>
      </c>
    </row>
    <row r="84">
      <c r="A84" s="8" t="inlineStr">
        <is>
          <t>2017-04-15 20:40:55.450</t>
        </is>
      </c>
      <c r="B84" s="8" t="n">
        <v>2017</v>
      </c>
      <c r="C84" s="9" t="n">
        <v>7.748</v>
      </c>
      <c r="D84" s="9" t="n">
        <v>124.677</v>
      </c>
      <c r="E84" s="8" t="n">
        <v>1</v>
      </c>
      <c r="F84" s="9" t="n">
        <v>5.3</v>
      </c>
      <c r="G84" s="9" t="n">
        <v>6</v>
      </c>
      <c r="H84" s="9" t="n">
        <v>6</v>
      </c>
      <c r="I84" s="9" t="n">
        <v>4.949999999999999</v>
      </c>
      <c r="J84" s="9" t="n">
        <v>0.3683933513370402</v>
      </c>
      <c r="K84" s="9" t="n">
        <v>2.133172929646861</v>
      </c>
      <c r="L84" s="9" t="n">
        <v>0.075925901029037</v>
      </c>
      <c r="M84" s="9" t="n">
        <v>0.0799062240181528</v>
      </c>
      <c r="N84" s="9" t="n">
        <v>0.5428681023790649</v>
      </c>
      <c r="O84" s="9" t="n">
        <v>2.9610836973214</v>
      </c>
      <c r="P84" s="9" t="n">
        <v>0.1648750863359726</v>
      </c>
      <c r="Q84" s="9" t="n">
        <v>0.1705666083438114</v>
      </c>
      <c r="R84" s="9" t="n">
        <v>0.2095238095238105</v>
      </c>
      <c r="S84" s="9" t="n">
        <v>0.5454822555520433</v>
      </c>
      <c r="T84" s="9" t="n">
        <v>259641352064.8755</v>
      </c>
      <c r="U84" s="9" t="n">
        <v>0.07849101514937031</v>
      </c>
      <c r="V84" s="9" t="n">
        <v>0.023517745856009</v>
      </c>
      <c r="W84" s="9" t="n">
        <v>-1.866513050514765</v>
      </c>
      <c r="X84" s="9" t="n">
        <v>10.48052344071476</v>
      </c>
      <c r="Y84" s="9" t="n">
        <v>53.3426030572333</v>
      </c>
      <c r="Z84" s="9" t="n">
        <v>57.04098600458082</v>
      </c>
      <c r="AA84" s="9" t="n">
        <v>2.626942684321986</v>
      </c>
      <c r="AB84" s="9" t="n">
        <v>53.82512817464394</v>
      </c>
      <c r="AC84" s="9" t="n">
        <v>0.6166525684038257</v>
      </c>
      <c r="AD84" s="9" t="n">
        <v>3.972182754623645</v>
      </c>
      <c r="AE84" s="9" t="n">
        <v>22651.12689178241</v>
      </c>
      <c r="AF84" s="9" t="n">
        <v>22661.09985011574</v>
      </c>
      <c r="AG84" s="9" t="n">
        <v>43535.17270833333</v>
      </c>
      <c r="AH84" s="8" t="inlineStr">
        <is>
          <t>Moderate (5.0-5.9)</t>
        </is>
      </c>
    </row>
    <row r="85">
      <c r="A85" s="8" t="inlineStr">
        <is>
          <t>2017-07-10 01:41:46.690</t>
        </is>
      </c>
      <c r="B85" s="8" t="n">
        <v>2017</v>
      </c>
      <c r="C85" s="9" t="n">
        <v>11.042</v>
      </c>
      <c r="D85" s="9" t="n">
        <v>124.744</v>
      </c>
      <c r="E85" s="8" t="n">
        <v>1</v>
      </c>
      <c r="F85" s="9" t="n">
        <v>5.8</v>
      </c>
      <c r="G85" s="9" t="n">
        <v>10</v>
      </c>
      <c r="H85" s="9" t="n">
        <v>6.5</v>
      </c>
      <c r="I85" s="9" t="n">
        <v>4.380000000000001</v>
      </c>
      <c r="J85" s="9" t="n">
        <v>0.1784490926937558</v>
      </c>
      <c r="K85" s="9" t="n">
        <v>1.03942863572355</v>
      </c>
      <c r="L85" s="9" t="n">
        <v>0.0178671611227073</v>
      </c>
      <c r="M85" s="9" t="n">
        <v>0.1484586844920834</v>
      </c>
      <c r="N85" s="9" t="n">
        <v>0.5603799766493576</v>
      </c>
      <c r="O85" s="9" t="n">
        <v>2.955655893255265</v>
      </c>
      <c r="P85" s="9" t="n">
        <v>0.176194392687414</v>
      </c>
      <c r="Q85" s="9" t="n">
        <v>0.3259172342601497</v>
      </c>
      <c r="R85" s="9" t="n">
        <v>0.6752091869284067</v>
      </c>
      <c r="S85" s="9" t="n">
        <v>1.225621870132085</v>
      </c>
      <c r="T85" s="9" t="n">
        <v>708222111702.2021</v>
      </c>
      <c r="U85" s="9" t="n">
        <v>0.2915095062926149</v>
      </c>
      <c r="V85" s="9" t="n">
        <v>0.0208381936704526</v>
      </c>
      <c r="W85" s="9" t="n">
        <v>-1</v>
      </c>
      <c r="X85" s="9" t="n">
        <v>12.21827206118656</v>
      </c>
      <c r="Y85" s="9" t="n">
        <v>2.29045234200731</v>
      </c>
      <c r="Z85" s="9" t="n">
        <v>9.145377904905031</v>
      </c>
      <c r="AA85" s="9" t="n">
        <v>5.441383881786343</v>
      </c>
      <c r="AB85" s="9" t="n">
        <v>7.445785185650336</v>
      </c>
      <c r="AC85" s="9" t="n">
        <v>-8.388565037235088</v>
      </c>
      <c r="AD85" s="9" t="n">
        <v>3.734632638886977</v>
      </c>
      <c r="AE85" s="9" t="n">
        <v>3.734632638886977</v>
      </c>
      <c r="AF85" s="9" t="n">
        <v>43535.17270833333</v>
      </c>
      <c r="AG85" s="9" t="n">
        <v>43535.17270833333</v>
      </c>
      <c r="AH85" s="8" t="inlineStr">
        <is>
          <t>Moderate (5.0-5.9)</t>
        </is>
      </c>
    </row>
    <row r="86">
      <c r="A86" s="8" t="inlineStr">
        <is>
          <t>2018-01-06 13:52:50.410</t>
        </is>
      </c>
      <c r="B86" s="8" t="n">
        <v>2018</v>
      </c>
      <c r="C86" s="9" t="n">
        <v>3.905</v>
      </c>
      <c r="D86" s="9" t="n">
        <v>126.626</v>
      </c>
      <c r="E86" s="8" t="n">
        <v>25</v>
      </c>
      <c r="F86" s="9" t="n">
        <v>5</v>
      </c>
      <c r="G86" s="9" t="n">
        <v>4</v>
      </c>
      <c r="H86" s="9" t="n">
        <v>5.9</v>
      </c>
      <c r="I86" s="9" t="n">
        <v>5.125</v>
      </c>
      <c r="J86" s="9" t="n">
        <v>0.3171834238052594</v>
      </c>
      <c r="K86" s="9" t="n">
        <v>1.922827711769709</v>
      </c>
      <c r="L86" s="9" t="n">
        <v>0.08980434124678099</v>
      </c>
      <c r="M86" s="9" t="n">
        <v>0.08636395810784089</v>
      </c>
      <c r="N86" s="9" t="n">
        <v>0.4039948668867458</v>
      </c>
      <c r="O86" s="9" t="n">
        <v>2.25843894556362</v>
      </c>
      <c r="P86" s="9" t="n">
        <v>0.145689435339808</v>
      </c>
      <c r="Q86" s="9" t="n">
        <v>0.1382192049515205</v>
      </c>
      <c r="R86" s="9" t="n">
        <v>-0.1621948294191559</v>
      </c>
      <c r="S86" s="9" t="n">
        <v>0.3097335617961176</v>
      </c>
      <c r="T86" s="9" t="n">
        <v>225064899581.1357</v>
      </c>
      <c r="U86" s="9" t="n">
        <v>0.111802040152251</v>
      </c>
      <c r="V86" s="9" t="n">
        <v>0.0613783768501917</v>
      </c>
      <c r="W86" s="9" t="n">
        <v>0</v>
      </c>
      <c r="X86" s="9" t="n">
        <v>4.061749219243962</v>
      </c>
      <c r="Y86" s="9" t="n">
        <v>191.963342572097</v>
      </c>
      <c r="Z86" s="9" t="n">
        <v>211.5742951425893</v>
      </c>
      <c r="AA86" s="9" t="n">
        <v>24.58598651536153</v>
      </c>
      <c r="AB86" s="9" t="n">
        <v>195.9607471972762</v>
      </c>
      <c r="AC86" s="9" t="n">
        <v>0.9234532802807862</v>
      </c>
      <c r="AD86" s="9" t="n">
        <v>3128.357763078704</v>
      </c>
      <c r="AE86" s="9" t="n">
        <v>3250.845803356482</v>
      </c>
      <c r="AF86" s="9" t="n">
        <v>3250.845803356482</v>
      </c>
      <c r="AG86" s="9" t="n">
        <v>3250.845803356482</v>
      </c>
      <c r="AH86" s="8" t="inlineStr">
        <is>
          <t>Moderate (5.0-5.9)</t>
        </is>
      </c>
    </row>
    <row r="87">
      <c r="A87" s="8" t="inlineStr">
        <is>
          <t>2018-01-06 18:35:07.620</t>
        </is>
      </c>
      <c r="B87" s="8" t="n">
        <v>2018</v>
      </c>
      <c r="C87" s="9" t="n">
        <v>4.002</v>
      </c>
      <c r="D87" s="9" t="n">
        <v>126.53</v>
      </c>
      <c r="E87" s="8" t="n">
        <v>11</v>
      </c>
      <c r="F87" s="9" t="n">
        <v>5.1</v>
      </c>
      <c r="G87" s="9" t="n">
        <v>5</v>
      </c>
      <c r="H87" s="9" t="n">
        <v>5.5</v>
      </c>
      <c r="I87" s="9" t="n">
        <v>4.720000000000001</v>
      </c>
      <c r="J87" s="9" t="n">
        <v>-0</v>
      </c>
      <c r="K87" s="9" t="n">
        <v>0</v>
      </c>
      <c r="L87" s="9" t="n">
        <v>0</v>
      </c>
      <c r="M87" s="9" t="n">
        <v>0</v>
      </c>
      <c r="N87" s="9" t="n">
        <v/>
      </c>
      <c r="O87" s="9" t="n">
        <v/>
      </c>
      <c r="P87" s="9" t="n">
        <v/>
      </c>
      <c r="Q87" s="9" t="n">
        <v/>
      </c>
      <c r="R87" s="9" t="n">
        <v/>
      </c>
      <c r="S87" s="9" t="n">
        <v/>
      </c>
      <c r="T87" s="9" t="n">
        <v>99915562393.24092</v>
      </c>
      <c r="U87" s="9" t="n">
        <v>1</v>
      </c>
      <c r="V87" s="9" t="n">
        <v/>
      </c>
      <c r="W87" s="9" t="n">
        <v>-0.9486832980505135</v>
      </c>
      <c r="X87" s="9" t="n">
        <v>5.490790707171333</v>
      </c>
      <c r="Y87" s="9" t="n">
        <v>173.217533270303</v>
      </c>
      <c r="Z87" s="9" t="n">
        <v>202.9221420360387</v>
      </c>
      <c r="AA87" s="9" t="n">
        <v>27.95866695461207</v>
      </c>
      <c r="AB87" s="9" t="n">
        <v>206.3338896527853</v>
      </c>
      <c r="AC87" s="9" t="n">
        <v>-1.98194202701139</v>
      </c>
      <c r="AD87" s="9" t="n">
        <v>3128.553795601852</v>
      </c>
      <c r="AE87" s="9" t="n">
        <v>3251.041835879631</v>
      </c>
      <c r="AF87" s="9" t="n">
        <v>3251.041835879631</v>
      </c>
      <c r="AG87" s="9" t="n">
        <v>3251.041835879631</v>
      </c>
      <c r="AH87" s="8" t="inlineStr">
        <is>
          <t>Moderate (5.0-5.9)</t>
        </is>
      </c>
    </row>
    <row r="88">
      <c r="A88" s="8" t="inlineStr">
        <is>
          <t>2018-09-10 11:57:00.390</t>
        </is>
      </c>
      <c r="B88" s="8" t="n">
        <v>2018</v>
      </c>
      <c r="C88" s="9" t="n">
        <v>10.717</v>
      </c>
      <c r="D88" s="9" t="n">
        <v>126.462</v>
      </c>
      <c r="E88" s="8" t="n">
        <v>1</v>
      </c>
      <c r="F88" s="9" t="n">
        <v>5.2</v>
      </c>
      <c r="G88" s="9" t="n">
        <v>3</v>
      </c>
      <c r="H88" s="9" t="n">
        <v>4.7</v>
      </c>
      <c r="I88" s="9" t="n">
        <v>4.3</v>
      </c>
      <c r="J88" s="9" t="n">
        <v>0.6842962795654144</v>
      </c>
      <c r="K88" s="9" t="n">
        <v>3.111586471865506</v>
      </c>
      <c r="L88" s="9" t="n">
        <v>0.2241956812569043</v>
      </c>
      <c r="M88" s="9" t="n">
        <v>0.09756609539998751</v>
      </c>
      <c r="N88" s="9" t="n">
        <v>1.240841376866435</v>
      </c>
      <c r="O88" s="9" t="n">
        <v>5.440486762185403</v>
      </c>
      <c r="P88" s="9" t="n">
        <v>0.7371763923041442</v>
      </c>
      <c r="Q88" s="9" t="n">
        <v>0.1944009875496112</v>
      </c>
      <c r="R88" s="9" t="n">
        <v>0.1528665948006846</v>
      </c>
      <c r="S88" s="9" t="n">
        <v>0.3154856989661621</v>
      </c>
      <c r="T88" s="9" t="n">
        <v>18454264756.80573</v>
      </c>
      <c r="U88" s="9" t="n">
        <v>0.0088534219156808</v>
      </c>
      <c r="V88" s="9" t="n">
        <v>0.0001894418252328</v>
      </c>
      <c r="W88" s="9" t="n">
        <v>-0.4472135954999578</v>
      </c>
      <c r="X88" s="9" t="n">
        <v>2.493476575328339</v>
      </c>
      <c r="Y88" s="9" t="n">
        <v>15.7569728754466</v>
      </c>
      <c r="Z88" s="9" t="n">
        <v>16.79316453683883</v>
      </c>
      <c r="AA88" s="9" t="n">
        <v>1.04785137779406</v>
      </c>
      <c r="AB88" s="9" t="n">
        <v>16.85082282449962</v>
      </c>
      <c r="AC88" s="9" t="n">
        <v>0.1203100615226087</v>
      </c>
      <c r="AD88" s="9" t="n">
        <v>1165.217795023156</v>
      </c>
      <c r="AE88" s="9" t="n">
        <v>2200.945899189814</v>
      </c>
      <c r="AF88" s="9" t="n">
        <v>2200.964918865742</v>
      </c>
      <c r="AG88" s="9" t="n">
        <v>2200.964918865742</v>
      </c>
      <c r="AH88" s="8" t="inlineStr">
        <is>
          <t>Moderate (5.0-5.9)</t>
        </is>
      </c>
    </row>
    <row r="89">
      <c r="A89" s="8" t="inlineStr">
        <is>
          <t>2018-09-27 04:44:24.490</t>
        </is>
      </c>
      <c r="B89" s="8" t="n">
        <v>2018</v>
      </c>
      <c r="C89" s="9" t="n">
        <v>10.538</v>
      </c>
      <c r="D89" s="9" t="n">
        <v>126.607</v>
      </c>
      <c r="E89" s="8" t="n">
        <v>1</v>
      </c>
      <c r="F89" s="9" t="n">
        <v>5</v>
      </c>
      <c r="G89" s="9" t="n">
        <v>5</v>
      </c>
      <c r="H89" s="9" t="n">
        <v>4.7</v>
      </c>
      <c r="I89" s="9" t="n">
        <v>4.48</v>
      </c>
      <c r="J89" s="9" t="n">
        <v/>
      </c>
      <c r="K89" s="9" t="n">
        <v/>
      </c>
      <c r="L89" s="9" t="n">
        <v/>
      </c>
      <c r="M89" s="9" t="n">
        <v/>
      </c>
      <c r="N89" s="9" t="n">
        <v/>
      </c>
      <c r="O89" s="9" t="n">
        <v/>
      </c>
      <c r="P89" s="9" t="n">
        <v/>
      </c>
      <c r="Q89" s="9" t="n">
        <v/>
      </c>
      <c r="R89" s="9" t="n">
        <v/>
      </c>
      <c r="S89" s="9" t="n">
        <v/>
      </c>
      <c r="T89" s="9" t="n">
        <v>29091146230.38437</v>
      </c>
      <c r="U89" s="9" t="n">
        <v/>
      </c>
      <c r="V89" s="9" t="n">
        <v/>
      </c>
      <c r="W89" s="9" t="n">
        <v>-1.698415551216894</v>
      </c>
      <c r="X89" s="9" t="n">
        <v>4.470720159908056</v>
      </c>
      <c r="Y89" s="9" t="n">
        <v>12.8306372052999</v>
      </c>
      <c r="Z89" s="9" t="n">
        <v>30.85526917718516</v>
      </c>
      <c r="AA89" s="9" t="n">
        <v>19.35013790630106</v>
      </c>
      <c r="AB89" s="9" t="n">
        <v>30.6354216835416</v>
      </c>
      <c r="AC89" s="9" t="n">
        <v>-13.2200799920933</v>
      </c>
      <c r="AD89" s="9" t="n">
        <v>1181.917379513892</v>
      </c>
      <c r="AE89" s="9" t="n">
        <v>2217.64548368055</v>
      </c>
      <c r="AF89" s="9" t="n">
        <v>2217.664503356478</v>
      </c>
      <c r="AG89" s="9" t="n">
        <v>2217.664503356478</v>
      </c>
      <c r="AH89" s="8" t="inlineStr">
        <is>
          <t>Moderate (5.0-5.9)</t>
        </is>
      </c>
    </row>
    <row r="90">
      <c r="A90" s="8" t="inlineStr">
        <is>
          <t>2018-10-28 08:09:52.730</t>
        </is>
      </c>
      <c r="B90" s="8" t="n">
        <v>2018</v>
      </c>
      <c r="C90" s="9" t="n">
        <v>3.802</v>
      </c>
      <c r="D90" s="9" t="n">
        <v>126.467</v>
      </c>
      <c r="E90" s="8" t="n">
        <v>1</v>
      </c>
      <c r="F90" s="9" t="n">
        <v>5.2</v>
      </c>
      <c r="G90" s="9" t="n">
        <v>5</v>
      </c>
      <c r="H90" s="9" t="n">
        <v>4.8</v>
      </c>
      <c r="I90" s="9" t="n">
        <v>4.62</v>
      </c>
      <c r="J90" s="9" t="n">
        <v/>
      </c>
      <c r="K90" s="9" t="n">
        <v/>
      </c>
      <c r="L90" s="9" t="n">
        <v/>
      </c>
      <c r="M90" s="9" t="n">
        <v/>
      </c>
      <c r="N90" s="9" t="n">
        <v/>
      </c>
      <c r="O90" s="9" t="n">
        <v/>
      </c>
      <c r="P90" s="9" t="n">
        <v/>
      </c>
      <c r="Q90" s="9" t="n">
        <v/>
      </c>
      <c r="R90" s="9" t="n">
        <v/>
      </c>
      <c r="S90" s="9" t="n">
        <v/>
      </c>
      <c r="T90" s="9" t="n">
        <v>34484598058.49196</v>
      </c>
      <c r="U90" s="9" t="n">
        <v/>
      </c>
      <c r="V90" s="9" t="n">
        <v/>
      </c>
      <c r="W90" s="9" t="n">
        <v>-1.083472677771923</v>
      </c>
      <c r="X90" s="9" t="n">
        <v>5.102132568082004</v>
      </c>
      <c r="Y90" s="9" t="n">
        <v>147.16836575823</v>
      </c>
      <c r="Z90" s="9" t="n">
        <v>210.0670125259066</v>
      </c>
      <c r="AA90" s="9" t="n">
        <v>37.91680556300164</v>
      </c>
      <c r="AB90" s="9" t="n">
        <v>208.2421324927725</v>
      </c>
      <c r="AC90" s="9" t="n">
        <v>-4.839716677626451</v>
      </c>
      <c r="AD90" s="9" t="n">
        <v>3545.607635763889</v>
      </c>
      <c r="AE90" s="9" t="n">
        <v>3545.607635763889</v>
      </c>
      <c r="AF90" s="9" t="n">
        <v>3545.607635763889</v>
      </c>
      <c r="AG90" s="9" t="n">
        <v>3545.607635763889</v>
      </c>
      <c r="AH90" s="8" t="inlineStr">
        <is>
          <t>Moderate (5.0-5.9)</t>
        </is>
      </c>
    </row>
    <row r="91">
      <c r="A91" s="8" t="inlineStr">
        <is>
          <t>2018-10-29 14:40:34.250</t>
        </is>
      </c>
      <c r="B91" s="8" t="n">
        <v>2018</v>
      </c>
      <c r="C91" s="9" t="n">
        <v>8.513999999999999</v>
      </c>
      <c r="D91" s="9" t="n">
        <v>126.843</v>
      </c>
      <c r="E91" s="8" t="n">
        <v>9</v>
      </c>
      <c r="F91" s="9" t="n">
        <v>5.3</v>
      </c>
      <c r="G91" s="9" t="n">
        <v>3</v>
      </c>
      <c r="H91" s="9" t="n">
        <v>5.3</v>
      </c>
      <c r="I91" s="9" t="n">
        <v>4.600000000000001</v>
      </c>
      <c r="J91" s="9" t="n">
        <v>0.3678818936174712</v>
      </c>
      <c r="K91" s="9" t="n">
        <v>1.852241607681209</v>
      </c>
      <c r="L91" s="9" t="n">
        <v>0.1178469272059955</v>
      </c>
      <c r="M91" s="9" t="n">
        <v>0.08420521378159471</v>
      </c>
      <c r="N91" s="9" t="n">
        <v>0.6681453567742331</v>
      </c>
      <c r="O91" s="9" t="n">
        <v>3.149702681816595</v>
      </c>
      <c r="P91" s="9" t="n">
        <v>0.38872578187488</v>
      </c>
      <c r="Q91" s="9" t="n">
        <v>0.1826824038789226</v>
      </c>
      <c r="R91" s="9" t="n">
        <v>0.2651188606547823</v>
      </c>
      <c r="S91" s="9" t="n">
        <v>0.5859020123657279</v>
      </c>
      <c r="T91" s="9" t="n">
        <v>60075868513.31686</v>
      </c>
      <c r="U91" s="9" t="n">
        <v>0.07876881629971939</v>
      </c>
      <c r="V91" s="9" t="n">
        <v>0.009898375607203899</v>
      </c>
      <c r="W91" s="9" t="n">
        <v>-0.4472135954999578</v>
      </c>
      <c r="X91" s="9" t="n">
        <v>3.612280987574101</v>
      </c>
      <c r="Y91" s="9" t="n">
        <v>24.3937183441155</v>
      </c>
      <c r="Z91" s="9" t="n">
        <v>29.34213749979213</v>
      </c>
      <c r="AA91" s="9" t="n">
        <v>8.503565130097716</v>
      </c>
      <c r="AB91" s="9" t="n">
        <v>24.55252272796049</v>
      </c>
      <c r="AC91" s="9" t="n">
        <v>-1.157311104843811</v>
      </c>
      <c r="AD91" s="9" t="n">
        <v>7901.804972800928</v>
      </c>
      <c r="AE91" s="9" t="n">
        <v>7901.804972800928</v>
      </c>
      <c r="AF91" s="9" t="n">
        <v>34393.48307002315</v>
      </c>
      <c r="AG91" s="9" t="n">
        <v>35415.83641493056</v>
      </c>
      <c r="AH91" s="8" t="inlineStr">
        <is>
          <t>Moderate (5.0-5.9)</t>
        </is>
      </c>
    </row>
    <row r="92">
      <c r="A92" s="8" t="inlineStr">
        <is>
          <t>2018-10-29 14:51:41.620</t>
        </is>
      </c>
      <c r="B92" s="8" t="n">
        <v>2018</v>
      </c>
      <c r="C92" s="9" t="n">
        <v>8.571999999999999</v>
      </c>
      <c r="D92" s="9" t="n">
        <v>127.175</v>
      </c>
      <c r="E92" s="8" t="n">
        <v>1</v>
      </c>
      <c r="F92" s="9" t="n">
        <v>5.3</v>
      </c>
      <c r="G92" s="9" t="n">
        <v>4</v>
      </c>
      <c r="H92" s="9" t="n">
        <v>5.3</v>
      </c>
      <c r="I92" s="9" t="n">
        <v>4.775</v>
      </c>
      <c r="J92" s="9" t="n">
        <v>0.2214633848479249</v>
      </c>
      <c r="K92" s="9" t="n">
        <v>1.415226613131288</v>
      </c>
      <c r="L92" s="9" t="n">
        <v>0.0360787788928964</v>
      </c>
      <c r="M92" s="9" t="n">
        <v>0.0514199519039958</v>
      </c>
      <c r="N92" s="9" t="n">
        <v>0.5264175538221233</v>
      </c>
      <c r="O92" s="9" t="n">
        <v>2.707730206616456</v>
      </c>
      <c r="P92" s="9" t="n">
        <v>0.2038490486139355</v>
      </c>
      <c r="Q92" s="9" t="n">
        <v>0.1894447212123068</v>
      </c>
      <c r="R92" s="9" t="n">
        <v>-1.090341293225962</v>
      </c>
      <c r="S92" s="9" t="n">
        <v>0.1563071520760894</v>
      </c>
      <c r="T92" s="9" t="n">
        <v>84121807411.36436</v>
      </c>
      <c r="U92" s="9" t="n">
        <v>0.2165757591879761</v>
      </c>
      <c r="V92" s="9" t="n">
        <v>0.0263479808144487</v>
      </c>
      <c r="W92" s="9" t="n">
        <v>-0.6324555320336758</v>
      </c>
      <c r="X92" s="9" t="n">
        <v>5.954651581568434</v>
      </c>
      <c r="Y92" s="9" t="n">
        <v>24.3937183441155</v>
      </c>
      <c r="Z92" s="9" t="n">
        <v>28.43963197174127</v>
      </c>
      <c r="AA92" s="9" t="n">
        <v>7.173921163528722</v>
      </c>
      <c r="AB92" s="9" t="n">
        <v>25.12118859453783</v>
      </c>
      <c r="AC92" s="9" t="n">
        <v>-1.121176345037953</v>
      </c>
      <c r="AD92" s="9" t="n">
        <v>10115.5098625</v>
      </c>
      <c r="AE92" s="9" t="n">
        <v>10544.83884976852</v>
      </c>
      <c r="AF92" s="9" t="n">
        <v>34393.49079421296</v>
      </c>
      <c r="AG92" s="9" t="n">
        <v>35415.84413912037</v>
      </c>
      <c r="AH92" s="8" t="inlineStr">
        <is>
          <t>Moderate (5.0-5.9)</t>
        </is>
      </c>
    </row>
    <row r="93">
      <c r="A93" s="8" t="inlineStr">
        <is>
          <t>2019-01-15 20:03:22.000</t>
        </is>
      </c>
      <c r="B93" s="8" t="n">
        <v>2019</v>
      </c>
      <c r="C93" s="9" t="n">
        <v>5.95</v>
      </c>
      <c r="D93" s="9" t="n">
        <v>126.87</v>
      </c>
      <c r="E93" s="8" t="n">
        <v>40</v>
      </c>
      <c r="F93" s="9" t="n">
        <v>6</v>
      </c>
      <c r="G93" s="9" t="n">
        <v>3</v>
      </c>
      <c r="H93" s="9" t="n">
        <v>4.1</v>
      </c>
      <c r="I93" s="9" t="n">
        <v>4.1</v>
      </c>
      <c r="J93" s="9" t="n">
        <v/>
      </c>
      <c r="K93" s="9" t="n">
        <v/>
      </c>
      <c r="L93" s="9" t="n">
        <v/>
      </c>
      <c r="M93" s="9" t="n">
        <v/>
      </c>
      <c r="N93" s="9" t="n">
        <v>8.685889638065067</v>
      </c>
      <c r="O93" s="9" t="n">
        <v>36.08926877078643</v>
      </c>
      <c r="P93" s="9" t="n">
        <v>0</v>
      </c>
      <c r="Q93" s="9" t="n">
        <v>0.8685889638065023</v>
      </c>
      <c r="R93" s="9" t="n">
        <v/>
      </c>
      <c r="S93" s="9" t="n">
        <v>-0.0549306144334051</v>
      </c>
      <c r="T93" s="9" t="n">
        <v>8483217996.172477</v>
      </c>
      <c r="U93" s="9" t="n">
        <v/>
      </c>
      <c r="V93" s="9" t="n">
        <v>8.75651076269468e-27</v>
      </c>
      <c r="W93" s="9" t="n">
        <v>-2.121320343559642</v>
      </c>
      <c r="X93" s="9" t="n">
        <v>2.299312497411129</v>
      </c>
      <c r="Y93" s="9" t="n">
        <v>28.7525596928985</v>
      </c>
      <c r="Z93" s="9" t="n">
        <v>54.0662228809967</v>
      </c>
      <c r="AA93" s="9" t="n">
        <v>30.95938006550497</v>
      </c>
      <c r="AB93" s="9" t="n">
        <v>54.06622288099671</v>
      </c>
      <c r="AC93" s="9" t="n">
        <v>-1.66922404284556</v>
      </c>
      <c r="AD93" s="9" t="n">
        <v>17.68355127314135</v>
      </c>
      <c r="AE93" s="9" t="n">
        <v>17.68355127314135</v>
      </c>
      <c r="AF93" s="9" t="n">
        <v>17.68355127314135</v>
      </c>
      <c r="AG93" s="9" t="n">
        <v>22393.48769675926</v>
      </c>
      <c r="AH93" s="8" t="inlineStr">
        <is>
          <t>Strong (6.0-6.9)</t>
        </is>
      </c>
    </row>
    <row r="94">
      <c r="A94" s="8" t="inlineStr">
        <is>
          <t>2019-02-08 11:55:05.000</t>
        </is>
      </c>
      <c r="B94" s="8" t="n">
        <v>2019</v>
      </c>
      <c r="C94" s="9" t="n">
        <v>9.789999999999999</v>
      </c>
      <c r="D94" s="9" t="n">
        <v>126.59</v>
      </c>
      <c r="E94" s="8" t="n">
        <v>11</v>
      </c>
      <c r="F94" s="9" t="n">
        <v>5.9</v>
      </c>
      <c r="G94" s="9" t="n">
        <v>5</v>
      </c>
      <c r="H94" s="9" t="n">
        <v>4.7</v>
      </c>
      <c r="I94" s="9" t="n">
        <v>4.3</v>
      </c>
      <c r="J94" s="9" t="n">
        <v>1.176571438120365</v>
      </c>
      <c r="K94" s="9" t="n">
        <v>5.444954983819507</v>
      </c>
      <c r="L94" s="9" t="n">
        <v>0.3899510269943516</v>
      </c>
      <c r="M94" s="9" t="n">
        <v>0.0905916150794199</v>
      </c>
      <c r="N94" s="9" t="n">
        <v>1.371456258641845</v>
      </c>
      <c r="O94" s="9" t="n">
        <v>6.237237541015412</v>
      </c>
      <c r="P94" s="9" t="n">
        <v>0.5298310269261339</v>
      </c>
      <c r="Q94" s="9" t="n">
        <v>0.1097330273424762</v>
      </c>
      <c r="R94" s="9" t="n">
        <v>0.0721849711751367</v>
      </c>
      <c r="S94" s="9" t="n">
        <v>0.1521061085884305</v>
      </c>
      <c r="T94" s="9" t="n">
        <v>21595621684.11685</v>
      </c>
      <c r="U94" s="9" t="n">
        <v>0.0002953151216485</v>
      </c>
      <c r="V94" s="9" t="n">
        <v>7.684776196488051e-05</v>
      </c>
      <c r="W94" s="9" t="n">
        <v>0.4082482904638629</v>
      </c>
      <c r="X94" s="9" t="n">
        <v>3.219064416801654</v>
      </c>
      <c r="Y94" s="9" t="n">
        <v>27.3058886331283</v>
      </c>
      <c r="Z94" s="9" t="n">
        <v>38.9317244480054</v>
      </c>
      <c r="AA94" s="9" t="n">
        <v>17.10161912680408</v>
      </c>
      <c r="AB94" s="9" t="n">
        <v>33.71366700957896</v>
      </c>
      <c r="AC94" s="9" t="n">
        <v>0.692869545971712</v>
      </c>
      <c r="AD94" s="9" t="n">
        <v>1316.216459490744</v>
      </c>
      <c r="AE94" s="9" t="n">
        <v>2288.734395833329</v>
      </c>
      <c r="AF94" s="9" t="n">
        <v>24432.04025462962</v>
      </c>
      <c r="AG94" s="9" t="n">
        <v>24432.04025462962</v>
      </c>
      <c r="AH94" s="8" t="inlineStr">
        <is>
          <t>Moderate (5.0-5.9)</t>
        </is>
      </c>
    </row>
    <row r="95">
      <c r="A95" s="8" t="inlineStr">
        <is>
          <t>2019-02-09 22:21:15.000</t>
        </is>
      </c>
      <c r="B95" s="8" t="n">
        <v>2019</v>
      </c>
      <c r="C95" s="9" t="n">
        <v>9.82</v>
      </c>
      <c r="D95" s="9" t="n">
        <v>126.36</v>
      </c>
      <c r="E95" s="8" t="n">
        <v>3</v>
      </c>
      <c r="F95" s="9" t="n">
        <v>5.1</v>
      </c>
      <c r="G95" s="9" t="n">
        <v>21</v>
      </c>
      <c r="H95" s="9" t="n">
        <v>5.9</v>
      </c>
      <c r="I95" s="9" t="n">
        <v>4.452380952380953</v>
      </c>
      <c r="J95" s="9" t="n">
        <v>0.2168732975998474</v>
      </c>
      <c r="K95" s="9" t="n">
        <v>1.214490466559145</v>
      </c>
      <c r="L95" s="9" t="n">
        <v>0.0107821987743547</v>
      </c>
      <c r="M95" s="9" t="n">
        <v>0.1245842244423603</v>
      </c>
      <c r="N95" s="9" t="n">
        <v>1.132942126704137</v>
      </c>
      <c r="O95" s="9" t="n">
        <v>6.028537675569932</v>
      </c>
      <c r="P95" s="9" t="n">
        <v>0.2942460348782917</v>
      </c>
      <c r="Q95" s="9" t="n">
        <v>0.2726866494535288</v>
      </c>
      <c r="R95" s="9" t="n">
        <v>0.3000000000000016</v>
      </c>
      <c r="S95" s="9" t="n">
        <v>0.5788652893438915</v>
      </c>
      <c r="T95" s="9" t="n">
        <v>212159947938.4426</v>
      </c>
      <c r="U95" s="9" t="n">
        <v>0.2235527966138056</v>
      </c>
      <c r="V95" s="9" t="n">
        <v>0.0003991844542591</v>
      </c>
      <c r="W95" s="9" t="n">
        <v>-1.019834120473508</v>
      </c>
      <c r="X95" s="9" t="n">
        <v>13.4122221053921</v>
      </c>
      <c r="Y95" s="9" t="n">
        <v>16.1640829831986</v>
      </c>
      <c r="Z95" s="9" t="n">
        <v>37.14198697266345</v>
      </c>
      <c r="AA95" s="9" t="n">
        <v>13.01518428315397</v>
      </c>
      <c r="AB95" s="9" t="n">
        <v>32.30985618917938</v>
      </c>
      <c r="AC95" s="9" t="n">
        <v>-0.0845714156123246</v>
      </c>
      <c r="AD95" s="9" t="n">
        <v>1317.651297453711</v>
      </c>
      <c r="AE95" s="9" t="n">
        <v>2290.169233796296</v>
      </c>
      <c r="AF95" s="9" t="n">
        <v>24433.47509259259</v>
      </c>
      <c r="AG95" s="9" t="n">
        <v>24433.47509259259</v>
      </c>
      <c r="AH95" s="8" t="inlineStr">
        <is>
          <t>Moderate (5.0-5.9)</t>
        </is>
      </c>
    </row>
    <row r="96">
      <c r="A96" s="8" t="inlineStr">
        <is>
          <t>2019-02-10 14:33:32.000</t>
        </is>
      </c>
      <c r="B96" s="8" t="n">
        <v>2019</v>
      </c>
      <c r="C96" s="9" t="n">
        <v>9.880000000000001</v>
      </c>
      <c r="D96" s="9" t="n">
        <v>126.45</v>
      </c>
      <c r="E96" s="8" t="n">
        <v>8</v>
      </c>
      <c r="F96" s="9" t="n">
        <v>5.1</v>
      </c>
      <c r="G96" s="9" t="n">
        <v>23</v>
      </c>
      <c r="H96" s="9" t="n">
        <v>5.9</v>
      </c>
      <c r="I96" s="9" t="n">
        <v>4.478260869565218</v>
      </c>
      <c r="J96" s="9" t="n">
        <v>0.4652281751170618</v>
      </c>
      <c r="K96" s="9" t="n">
        <v>2.621697598600855</v>
      </c>
      <c r="L96" s="9" t="n">
        <v>0.0473561188603965</v>
      </c>
      <c r="M96" s="9" t="n">
        <v>0.1318422656023454</v>
      </c>
      <c r="N96" s="9" t="n">
        <v>1.240841376866435</v>
      </c>
      <c r="O96" s="9" t="n">
        <v>6.682182737973495</v>
      </c>
      <c r="P96" s="9" t="n">
        <v>0.3368810784458202</v>
      </c>
      <c r="Q96" s="9" t="n">
        <v>0.2720830210543721</v>
      </c>
      <c r="R96" s="9" t="n">
        <v>0.2647058823529402</v>
      </c>
      <c r="S96" s="9" t="n">
        <v>0.5147969736080382</v>
      </c>
      <c r="T96" s="9" t="n">
        <v>215890206203.9623</v>
      </c>
      <c r="U96" s="9" t="n">
        <v>0.0402082780627947</v>
      </c>
      <c r="V96" s="9" t="n">
        <v>0.0001894418252328</v>
      </c>
      <c r="W96" s="9" t="n">
        <v>-1.36740853229122</v>
      </c>
      <c r="X96" s="9" t="n">
        <v>14.66698768052007</v>
      </c>
      <c r="Y96" s="9" t="n">
        <v>16.1640829831986</v>
      </c>
      <c r="Z96" s="9" t="n">
        <v>38.55060057338586</v>
      </c>
      <c r="AA96" s="9" t="n">
        <v>13.29961470281077</v>
      </c>
      <c r="AB96" s="9" t="n">
        <v>33.62412794469452</v>
      </c>
      <c r="AC96" s="9" t="n">
        <v>0.2280681837500367</v>
      </c>
      <c r="AD96" s="9" t="n">
        <v>1318.326494212968</v>
      </c>
      <c r="AE96" s="9" t="n">
        <v>2290.844430555553</v>
      </c>
      <c r="AF96" s="9" t="n">
        <v>24434.15028935185</v>
      </c>
      <c r="AG96" s="9" t="n">
        <v>24434.15028935185</v>
      </c>
      <c r="AH96" s="8" t="inlineStr">
        <is>
          <t>Moderate (5.0-5.9)</t>
        </is>
      </c>
    </row>
    <row r="97">
      <c r="A97" s="8" t="inlineStr">
        <is>
          <t>2019-04-26 05:26:59.000</t>
        </is>
      </c>
      <c r="B97" s="8" t="n">
        <v>2019</v>
      </c>
      <c r="C97" s="9" t="n">
        <v>9.779999999999999</v>
      </c>
      <c r="D97" s="9" t="n">
        <v>126.79</v>
      </c>
      <c r="E97" s="8" t="n">
        <v>11</v>
      </c>
      <c r="F97" s="9" t="n">
        <v>5.5</v>
      </c>
      <c r="G97" s="9" t="n">
        <v>4</v>
      </c>
      <c r="H97" s="9" t="n">
        <v>4.3</v>
      </c>
      <c r="I97" s="9" t="n">
        <v>4.125</v>
      </c>
      <c r="J97" s="9" t="n">
        <v>1.806179973983878</v>
      </c>
      <c r="K97" s="9" t="n">
        <v>7.796676887697071</v>
      </c>
      <c r="L97" s="9" t="n">
        <v>0.5627443519775194</v>
      </c>
      <c r="M97" s="9" t="n">
        <v>0.0777256106610333</v>
      </c>
      <c r="N97" s="9" t="n">
        <v>2.48168275373287</v>
      </c>
      <c r="O97" s="9" t="n">
        <v>10.52879100625944</v>
      </c>
      <c r="P97" s="9" t="n">
        <v>1.062384252555215</v>
      </c>
      <c r="Q97" s="9" t="n">
        <v>0.1428630380110185</v>
      </c>
      <c r="R97" s="9" t="n">
        <v>-0.0166666666666648</v>
      </c>
      <c r="S97" s="9" t="n">
        <v>0.0573984868040193</v>
      </c>
      <c r="T97" s="9" t="n">
        <v>11088722050.44363</v>
      </c>
      <c r="U97" s="9" t="n">
        <v>3.814697265625241e-06</v>
      </c>
      <c r="V97" s="9" t="n">
        <v>3.588820514756982e-08</v>
      </c>
      <c r="W97" s="9" t="n">
        <v>-1.154700538379252</v>
      </c>
      <c r="X97" s="9" t="n">
        <v>0.97316937855973</v>
      </c>
      <c r="Y97" s="9" t="n">
        <v>4.833389972524651</v>
      </c>
      <c r="Z97" s="9" t="n">
        <v>22.99117111466652</v>
      </c>
      <c r="AA97" s="9" t="n">
        <v>24.72092729395233</v>
      </c>
      <c r="AB97" s="9" t="n">
        <v>17.39888090807201</v>
      </c>
      <c r="AC97" s="9" t="n">
        <v>-3.940014566226982</v>
      </c>
      <c r="AD97" s="9" t="n">
        <v>48.59775462962716</v>
      </c>
      <c r="AE97" s="9" t="n">
        <v>2365.464881944441</v>
      </c>
      <c r="AF97" s="9" t="n">
        <v>24508.77074074074</v>
      </c>
      <c r="AG97" s="9" t="n">
        <v>24508.77074074074</v>
      </c>
      <c r="AH97" s="8" t="inlineStr">
        <is>
          <t>Moderate (5.0-5.9)</t>
        </is>
      </c>
    </row>
    <row r="98">
      <c r="A98" s="8" t="inlineStr">
        <is>
          <t>2019-04-26 06:04:18.000</t>
        </is>
      </c>
      <c r="B98" s="8" t="n">
        <v>2019</v>
      </c>
      <c r="C98" s="9" t="n">
        <v>9.77</v>
      </c>
      <c r="D98" s="9" t="n">
        <v>126.77</v>
      </c>
      <c r="E98" s="8" t="n">
        <v>3</v>
      </c>
      <c r="F98" s="9" t="n">
        <v>5</v>
      </c>
      <c r="G98" s="9" t="n">
        <v>7</v>
      </c>
      <c r="H98" s="9" t="n">
        <v>5.5</v>
      </c>
      <c r="I98" s="9" t="n">
        <v>4.371428571428572</v>
      </c>
      <c r="J98" s="9" t="n">
        <v>0.3745981059178102</v>
      </c>
      <c r="K98" s="9" t="n">
        <v>1.922309474752784</v>
      </c>
      <c r="L98" s="9" t="n">
        <v>0.0632738916941451</v>
      </c>
      <c r="M98" s="9" t="n">
        <v>0.1597443198659173</v>
      </c>
      <c r="N98" s="9" t="n">
        <v>1.173768870008788</v>
      </c>
      <c r="O98" s="9" t="n">
        <v>5.62879925837293</v>
      </c>
      <c r="P98" s="9" t="n">
        <v>0.6212387926815299</v>
      </c>
      <c r="Q98" s="9" t="n">
        <v>0.3837117646506974</v>
      </c>
      <c r="R98" s="9" t="n">
        <v>0.3683417123989567</v>
      </c>
      <c r="S98" s="9" t="n">
        <v>0.7045079723993819</v>
      </c>
      <c r="T98" s="9" t="n">
        <v>90475003655.93823</v>
      </c>
      <c r="U98" s="9" t="n">
        <v>0.0751978947585351</v>
      </c>
      <c r="V98" s="9" t="n">
        <v>0.000301087960567</v>
      </c>
      <c r="W98" s="9" t="n">
        <v>-1.25</v>
      </c>
      <c r="X98" s="9" t="n">
        <v>2.818091191573832</v>
      </c>
      <c r="Y98" s="9" t="n">
        <v>4.833389972524651</v>
      </c>
      <c r="Z98" s="9" t="n">
        <v>18.50529376476331</v>
      </c>
      <c r="AA98" s="9" t="n">
        <v>19.14233646025138</v>
      </c>
      <c r="AB98" s="9" t="n">
        <v>9.79929338816377</v>
      </c>
      <c r="AC98" s="9" t="n">
        <v>-3.426723918588009</v>
      </c>
      <c r="AD98" s="9" t="n">
        <v>48.62366898148321</v>
      </c>
      <c r="AE98" s="9" t="n">
        <v>2365.490796296297</v>
      </c>
      <c r="AF98" s="9" t="n">
        <v>24508.79665509259</v>
      </c>
      <c r="AG98" s="9" t="n">
        <v>24508.79665509259</v>
      </c>
      <c r="AH98" s="8" t="inlineStr">
        <is>
          <t>Moderate (5.0-5.9)</t>
        </is>
      </c>
    </row>
    <row r="99">
      <c r="A99" s="8" t="inlineStr">
        <is>
          <t>2019-04-26 08:04:22.000</t>
        </is>
      </c>
      <c r="B99" s="8" t="n">
        <v>2019</v>
      </c>
      <c r="C99" s="9" t="n">
        <v>9.789999999999999</v>
      </c>
      <c r="D99" s="9" t="n">
        <v>126.74</v>
      </c>
      <c r="E99" s="8" t="n">
        <v>12</v>
      </c>
      <c r="F99" s="9" t="n">
        <v>5.5</v>
      </c>
      <c r="G99" s="9" t="n">
        <v>9</v>
      </c>
      <c r="H99" s="9" t="n">
        <v>5.5</v>
      </c>
      <c r="I99" s="9" t="n">
        <v>4.422222222222223</v>
      </c>
      <c r="J99" s="9" t="n">
        <v>0.4361207586661484</v>
      </c>
      <c r="K99" s="9" t="n">
        <v>2.349072857789397</v>
      </c>
      <c r="L99" s="9" t="n">
        <v>0.073193496175328</v>
      </c>
      <c r="M99" s="9" t="n">
        <v>0.0768207975386432</v>
      </c>
      <c r="N99" s="9" t="n">
        <v>0.7042613220052737</v>
      </c>
      <c r="O99" s="9" t="n">
        <v>3.575871071542867</v>
      </c>
      <c r="P99" s="9" t="n">
        <v>0.1908651551515223</v>
      </c>
      <c r="Q99" s="9" t="n">
        <v>0.1645657468951781</v>
      </c>
      <c r="R99" s="9" t="n">
        <v>0.1137100536697488</v>
      </c>
      <c r="S99" s="9" t="n">
        <v>0.422522421987999</v>
      </c>
      <c r="T99" s="9" t="n">
        <v>96031422420.05516</v>
      </c>
      <c r="U99" s="9" t="n">
        <v>0.0491629261558885</v>
      </c>
      <c r="V99" s="9" t="n">
        <v>0.0077128704008256</v>
      </c>
      <c r="W99" s="9" t="n">
        <v>-1.188890885851826</v>
      </c>
      <c r="X99" s="9" t="n">
        <v>3.930106630144982</v>
      </c>
      <c r="Y99" s="9" t="n">
        <v>4.833389972524651</v>
      </c>
      <c r="Z99" s="9" t="n">
        <v>17.90321540696427</v>
      </c>
      <c r="AA99" s="9" t="n">
        <v>16.74238896684681</v>
      </c>
      <c r="AB99" s="9" t="n">
        <v>10.1659718829093</v>
      </c>
      <c r="AC99" s="9" t="n">
        <v>-3.229894843955587</v>
      </c>
      <c r="AD99" s="9" t="n">
        <v>48.70704861111153</v>
      </c>
      <c r="AE99" s="9" t="n">
        <v>2365.574175925925</v>
      </c>
      <c r="AF99" s="9" t="n">
        <v>24508.88003472222</v>
      </c>
      <c r="AG99" s="9" t="n">
        <v>24508.88003472222</v>
      </c>
      <c r="AH99" s="8" t="inlineStr">
        <is>
          <t>Moderate (5.0-5.9)</t>
        </is>
      </c>
    </row>
    <row r="100">
      <c r="A100" s="8" t="inlineStr">
        <is>
          <t>2019-05-05 01:56:04.000</t>
        </is>
      </c>
      <c r="B100" s="8" t="n">
        <v>2019</v>
      </c>
      <c r="C100" s="9" t="n">
        <v>8.83</v>
      </c>
      <c r="D100" s="9" t="n">
        <v>126.99</v>
      </c>
      <c r="E100" s="8" t="n">
        <v>23</v>
      </c>
      <c r="F100" s="9" t="n">
        <v>5</v>
      </c>
      <c r="G100" s="9" t="n">
        <v>18</v>
      </c>
      <c r="H100" s="9" t="n">
        <v>4.8</v>
      </c>
      <c r="I100" s="9" t="n">
        <v>4.283333333333333</v>
      </c>
      <c r="J100" s="9" t="n">
        <v>1.588270725479357</v>
      </c>
      <c r="K100" s="9" t="n">
        <v>7.779993873854504</v>
      </c>
      <c r="L100" s="9" t="n">
        <v>0.3730451928273963</v>
      </c>
      <c r="M100" s="9" t="n">
        <v>0.114900674004304</v>
      </c>
      <c r="N100" s="9" t="n">
        <v>1.316043884555308</v>
      </c>
      <c r="O100" s="9" t="n">
        <v>6.527384315132295</v>
      </c>
      <c r="P100" s="9" t="n">
        <v>0.2561256823227851</v>
      </c>
      <c r="Q100" s="9" t="n">
        <v>0.1149271269756232</v>
      </c>
      <c r="R100" s="9" t="n">
        <v>-0.0984053845772532</v>
      </c>
      <c r="S100" s="9" t="n">
        <v>-0.1598530806880358</v>
      </c>
      <c r="T100" s="9" t="n">
        <v>41469891863.23017</v>
      </c>
      <c r="U100" s="9" t="n">
        <v>1.718651508400432e-05</v>
      </c>
      <c r="V100" s="9" t="n">
        <v>0.0001126855805078</v>
      </c>
      <c r="W100" s="9" t="n">
        <v>0.9539143602205972</v>
      </c>
      <c r="X100" s="9" t="n">
        <v>15.16786596934974</v>
      </c>
      <c r="Y100" s="9" t="n">
        <v>9.7345407048516</v>
      </c>
      <c r="Z100" s="9" t="n">
        <v>19.69230597958646</v>
      </c>
      <c r="AA100" s="9" t="n">
        <v>6.172549615292803</v>
      </c>
      <c r="AB100" s="9" t="n">
        <v>19.00556809319653</v>
      </c>
      <c r="AC100" s="9" t="n">
        <v>0.3163735548913507</v>
      </c>
      <c r="AD100" s="9" t="n">
        <v>2374.318412037035</v>
      </c>
      <c r="AE100" s="9" t="n">
        <v>2374.318412037035</v>
      </c>
      <c r="AF100" s="9" t="n">
        <v>24517.62427083333</v>
      </c>
      <c r="AG100" s="9" t="n">
        <v>24517.62427083333</v>
      </c>
      <c r="AH100" s="8" t="inlineStr">
        <is>
          <t>Moderate (5.0-5.9)</t>
        </is>
      </c>
    </row>
    <row r="101">
      <c r="A101" s="8" t="inlineStr">
        <is>
          <t>2019-07-27 01:24:42.000</t>
        </is>
      </c>
      <c r="B101" s="8" t="n">
        <v>2019</v>
      </c>
      <c r="C101" s="9" t="n">
        <v>20.89</v>
      </c>
      <c r="D101" s="9" t="n">
        <v>121.84</v>
      </c>
      <c r="E101" s="8" t="n">
        <v>13</v>
      </c>
      <c r="F101" s="9" t="n">
        <v>5.8</v>
      </c>
      <c r="G101" s="9" t="n">
        <v>4</v>
      </c>
      <c r="H101" s="9" t="n">
        <v>5.9</v>
      </c>
      <c r="I101" s="9" t="n">
        <v>4.925000000000001</v>
      </c>
      <c r="J101" s="9" t="n">
        <v>0.2547415855980024</v>
      </c>
      <c r="K101" s="9" t="n">
        <v>1.520579448341898</v>
      </c>
      <c r="L101" s="9" t="n">
        <v>0.06430515134601</v>
      </c>
      <c r="M101" s="9" t="n">
        <v>0.093543370321521</v>
      </c>
      <c r="N101" s="9" t="n">
        <v>0.5603799766493569</v>
      </c>
      <c r="O101" s="9" t="n">
        <v>2.955655893255261</v>
      </c>
      <c r="P101" s="9" t="n">
        <v>0.3111797208964056</v>
      </c>
      <c r="Q101" s="9" t="n">
        <v>0.2186658798464026</v>
      </c>
      <c r="R101" s="9" t="n">
        <v>-0.0691056910569116</v>
      </c>
      <c r="S101" s="9" t="n">
        <v>0.6256218701320844</v>
      </c>
      <c r="T101" s="9" t="n">
        <v>216812427135.7276</v>
      </c>
      <c r="U101" s="9" t="n">
        <v>0.1720977701274406</v>
      </c>
      <c r="V101" s="9" t="n">
        <v>0.0208381936704527</v>
      </c>
      <c r="W101" s="9" t="n">
        <v>-0.9999999999999998</v>
      </c>
      <c r="X101" s="9" t="n">
        <v>5.617321208040141</v>
      </c>
      <c r="Y101" s="9" t="n">
        <v>97.71740784264389</v>
      </c>
      <c r="Z101" s="9" t="n">
        <v>118.3560363812427</v>
      </c>
      <c r="AA101" s="9" t="n">
        <v>15.33582430673437</v>
      </c>
      <c r="AB101" s="9" t="n">
        <v>131.9086104503281</v>
      </c>
      <c r="AC101" s="9" t="n">
        <v>-0.735516606404697</v>
      </c>
      <c r="AD101" s="9" t="n">
        <v>2298.211265509264</v>
      </c>
      <c r="AE101" s="9" t="n">
        <v>4595.534953819442</v>
      </c>
      <c r="AF101" s="9" t="n">
        <v>4595.534953819442</v>
      </c>
      <c r="AG101" s="9" t="n">
        <v>43535.17270833333</v>
      </c>
      <c r="AH101" s="8" t="inlineStr">
        <is>
          <t>Moderate (5.0-5.9)</t>
        </is>
      </c>
    </row>
    <row r="102">
      <c r="A102" s="8" t="inlineStr">
        <is>
          <t>2019-07-27 10:11:32.000</t>
        </is>
      </c>
      <c r="B102" s="8" t="n">
        <v>2019</v>
      </c>
      <c r="C102" s="9" t="n">
        <v>20.78</v>
      </c>
      <c r="D102" s="9" t="n">
        <v>122.07</v>
      </c>
      <c r="E102" s="8" t="n">
        <v>15</v>
      </c>
      <c r="F102" s="9" t="n">
        <v>5.3</v>
      </c>
      <c r="G102" s="9" t="n">
        <v>7</v>
      </c>
      <c r="H102" s="9" t="n">
        <v>5.9</v>
      </c>
      <c r="I102" s="9" t="n">
        <v>4.9</v>
      </c>
      <c r="J102" s="9" t="n">
        <v>0.3098838190658634</v>
      </c>
      <c r="K102" s="9" t="n">
        <v>2.038223384915053</v>
      </c>
      <c r="L102" s="9" t="n">
        <v>0.0669567927209357</v>
      </c>
      <c r="M102" s="9" t="n">
        <v>0.0747682621159217</v>
      </c>
      <c r="N102" s="9" t="n">
        <v>0.3860395394695571</v>
      </c>
      <c r="O102" s="9" t="n">
        <v>2.300633964994014</v>
      </c>
      <c r="P102" s="9" t="n">
        <v>0.1039107359805827</v>
      </c>
      <c r="Q102" s="9" t="n">
        <v>0.1443427717722769</v>
      </c>
      <c r="R102" s="9" t="n">
        <v>-0.6773791966912759</v>
      </c>
      <c r="S102" s="9" t="n">
        <v>-0.0595811562598767</v>
      </c>
      <c r="T102" s="9" t="n">
        <v>273865442066.0479</v>
      </c>
      <c r="U102" s="9" t="n">
        <v>0.1175840846807653</v>
      </c>
      <c r="V102" s="9" t="n">
        <v>0.0694834512228015</v>
      </c>
      <c r="W102" s="9" t="n">
        <v>-1.449137674618943</v>
      </c>
      <c r="X102" s="9" t="n">
        <v>8.99386463871906</v>
      </c>
      <c r="Y102" s="9" t="n">
        <v>90.1301494317043</v>
      </c>
      <c r="Z102" s="9" t="n">
        <v>110.476584338715</v>
      </c>
      <c r="AA102" s="9" t="n">
        <v>16.26467138504893</v>
      </c>
      <c r="AB102" s="9" t="n">
        <v>124.7460767402386</v>
      </c>
      <c r="AC102" s="9" t="n">
        <v>4.045354717017542</v>
      </c>
      <c r="AD102" s="9" t="n">
        <v>2298.577121990747</v>
      </c>
      <c r="AE102" s="9" t="n">
        <v>23702.05430555556</v>
      </c>
      <c r="AF102" s="9" t="n">
        <v>43535.17270833333</v>
      </c>
      <c r="AG102" s="9" t="n">
        <v>43535.17270833333</v>
      </c>
      <c r="AH102" s="8" t="inlineStr">
        <is>
          <t>Moderate (5.0-5.9)</t>
        </is>
      </c>
    </row>
    <row r="103">
      <c r="A103" s="8" t="inlineStr">
        <is>
          <t>2019-09-29 02:02:50.000</t>
        </is>
      </c>
      <c r="B103" s="8" t="n">
        <v>2019</v>
      </c>
      <c r="C103" s="9" t="n">
        <v>5.52</v>
      </c>
      <c r="D103" s="9" t="n">
        <v>126.66</v>
      </c>
      <c r="E103" s="8" t="n">
        <v>63</v>
      </c>
      <c r="F103" s="9" t="n">
        <v>6.4</v>
      </c>
      <c r="G103" s="9" t="n">
        <v>5</v>
      </c>
      <c r="H103" s="9" t="n">
        <v>5.6</v>
      </c>
      <c r="I103" s="9" t="n">
        <v>4.5</v>
      </c>
      <c r="J103" s="9" t="n">
        <v>-0</v>
      </c>
      <c r="K103" s="9" t="n">
        <v>0</v>
      </c>
      <c r="L103" s="9" t="n">
        <v>0</v>
      </c>
      <c r="M103" s="9" t="n">
        <v>0</v>
      </c>
      <c r="N103" s="9" t="n">
        <v/>
      </c>
      <c r="O103" s="9" t="n">
        <v/>
      </c>
      <c r="P103" s="9" t="n">
        <v/>
      </c>
      <c r="Q103" s="9" t="n">
        <v/>
      </c>
      <c r="R103" s="9" t="n">
        <v/>
      </c>
      <c r="S103" s="9" t="n">
        <v/>
      </c>
      <c r="T103" s="9" t="n">
        <v>110421232811.5062</v>
      </c>
      <c r="U103" s="9" t="n">
        <v>1</v>
      </c>
      <c r="V103" s="9" t="n">
        <v/>
      </c>
      <c r="W103" s="9" t="n">
        <v>0.9486832980505135</v>
      </c>
      <c r="X103" s="9" t="n">
        <v>2.484010376536767</v>
      </c>
      <c r="Y103" s="9" t="n">
        <v>89.52377641240111</v>
      </c>
      <c r="Z103" s="9" t="n">
        <v>103.4305538600088</v>
      </c>
      <c r="AA103" s="9" t="n">
        <v>11.34730287087116</v>
      </c>
      <c r="AB103" s="9" t="n">
        <v>115.2534392769206</v>
      </c>
      <c r="AC103" s="9" t="n">
        <v>1.285614996789493</v>
      </c>
      <c r="AD103" s="9" t="n">
        <v>120.6599652777732</v>
      </c>
      <c r="AE103" s="9" t="n">
        <v>273.9331809027717</v>
      </c>
      <c r="AF103" s="9" t="n">
        <v>273.9331809027717</v>
      </c>
      <c r="AG103" s="9" t="n">
        <v>22649.73732638889</v>
      </c>
      <c r="AH103" s="8" t="inlineStr">
        <is>
          <t>Strong (6.0-6.9)</t>
        </is>
      </c>
    </row>
    <row r="104">
      <c r="A104" s="8" t="inlineStr">
        <is>
          <t>2019-10-16 11:37:05.000</t>
        </is>
      </c>
      <c r="B104" s="8" t="n">
        <v>2019</v>
      </c>
      <c r="C104" s="9" t="n">
        <v>6.76</v>
      </c>
      <c r="D104" s="9" t="n">
        <v>125.01</v>
      </c>
      <c r="E104" s="8" t="n">
        <v>9</v>
      </c>
      <c r="F104" s="9" t="n">
        <v>6.3</v>
      </c>
      <c r="G104" s="9" t="n">
        <v>3</v>
      </c>
      <c r="H104" s="9" t="n">
        <v>4.9</v>
      </c>
      <c r="I104" s="9" t="n">
        <v>4.566666666666667</v>
      </c>
      <c r="J104" s="9" t="n">
        <v>0.6842962795654132</v>
      </c>
      <c r="K104" s="9" t="n">
        <v>3.323703226694576</v>
      </c>
      <c r="L104" s="9" t="n">
        <v>0.2183714213765832</v>
      </c>
      <c r="M104" s="9" t="n">
        <v>0.0757152799508016</v>
      </c>
      <c r="N104" s="9" t="n">
        <v>1.042306756567804</v>
      </c>
      <c r="O104" s="9" t="n">
        <v>4.854809632304439</v>
      </c>
      <c r="P104" s="9" t="n">
        <v>0.5066389201389832</v>
      </c>
      <c r="Q104" s="9" t="n">
        <v>0.1560883269732176</v>
      </c>
      <c r="R104" s="9" t="n">
        <v>0.0428886493356177</v>
      </c>
      <c r="S104" s="9" t="n">
        <v>0.2422448797216203</v>
      </c>
      <c r="T104" s="9" t="n">
        <v>29791732498.8147</v>
      </c>
      <c r="U104" s="9" t="n">
        <v>0.008853421915680899</v>
      </c>
      <c r="V104" s="9" t="n">
        <v>0.0007465858083765999</v>
      </c>
      <c r="W104" s="9" t="n">
        <v>-0.6123724356957945</v>
      </c>
      <c r="X104" s="9" t="n">
        <v>3.612280987574101</v>
      </c>
      <c r="Y104" s="9" t="n">
        <v>6.50146257968848</v>
      </c>
      <c r="Z104" s="9" t="n">
        <v>10.17062439542356</v>
      </c>
      <c r="AA104" s="9" t="n">
        <v>3.746900865048259</v>
      </c>
      <c r="AB104" s="9" t="n">
        <v>7.828250025543618</v>
      </c>
      <c r="AC104" s="9" t="n">
        <v>-0.5034299076743207</v>
      </c>
      <c r="AD104" s="9" t="n">
        <v>1852.299248379633</v>
      </c>
      <c r="AE104" s="9" t="n">
        <v>25736.42607638889</v>
      </c>
      <c r="AF104" s="9" t="n">
        <v>25736.42607638889</v>
      </c>
      <c r="AG104" s="9" t="n">
        <v>43535.17270833333</v>
      </c>
      <c r="AH104" s="8" t="inlineStr">
        <is>
          <t>Strong (6.0-6.9)</t>
        </is>
      </c>
    </row>
    <row r="105">
      <c r="A105" s="8" t="inlineStr">
        <is>
          <t>2019-10-16 12:09:29.000</t>
        </is>
      </c>
      <c r="B105" s="8" t="n">
        <v>2019</v>
      </c>
      <c r="C105" s="9" t="n">
        <v>6.76</v>
      </c>
      <c r="D105" s="9" t="n">
        <v>125.01</v>
      </c>
      <c r="E105" s="8" t="n">
        <v>9</v>
      </c>
      <c r="F105" s="9" t="n">
        <v>5.5</v>
      </c>
      <c r="G105" s="9" t="n">
        <v>4</v>
      </c>
      <c r="H105" s="9" t="n">
        <v>6.3</v>
      </c>
      <c r="I105" s="9" t="n">
        <v>5</v>
      </c>
      <c r="J105" s="9" t="n">
        <v>0.2897054206825133</v>
      </c>
      <c r="K105" s="9" t="n">
        <v>1.676118685728584</v>
      </c>
      <c r="L105" s="9" t="n">
        <v>0.0881090381126455</v>
      </c>
      <c r="M105" s="9" t="n">
        <v>0.1138171856263714</v>
      </c>
      <c r="N105" s="9" t="n">
        <v>0.5109346845920612</v>
      </c>
      <c r="O105" s="9" t="n">
        <v>2.747985666614619</v>
      </c>
      <c r="P105" s="9" t="n">
        <v>0.2740551631418209</v>
      </c>
      <c r="Q105" s="9" t="n">
        <v>0.2049382179298581</v>
      </c>
      <c r="R105" s="9" t="n">
        <v>0.5144034385692997</v>
      </c>
      <c r="S105" s="9" t="n">
        <v>0.9216497930480924</v>
      </c>
      <c r="T105" s="9" t="n">
        <v>468682952239.8234</v>
      </c>
      <c r="U105" s="9" t="n">
        <v>0.1351710657408511</v>
      </c>
      <c r="V105" s="9" t="n">
        <v>0.0293221591238937</v>
      </c>
      <c r="W105" s="9" t="n">
        <v>-1.154700538379252</v>
      </c>
      <c r="X105" s="9" t="n">
        <v>4.819094914515003</v>
      </c>
      <c r="Y105" s="9" t="n">
        <v>6.50146257968848</v>
      </c>
      <c r="Z105" s="9" t="n">
        <v>9.82189205931618</v>
      </c>
      <c r="AA105" s="9" t="n">
        <v>3.137828500304084</v>
      </c>
      <c r="AB105" s="9" t="n">
        <v>8.76495144997377</v>
      </c>
      <c r="AC105" s="9" t="n">
        <v>-0.4005857243106141</v>
      </c>
      <c r="AD105" s="9" t="n">
        <v>0.0224999999991268</v>
      </c>
      <c r="AE105" s="9" t="n">
        <v>25736.44857638889</v>
      </c>
      <c r="AF105" s="9" t="n">
        <v>25736.44857638889</v>
      </c>
      <c r="AG105" s="9" t="n">
        <v>43535.17270833333</v>
      </c>
      <c r="AH105" s="8" t="inlineStr">
        <is>
          <t>Moderate (5.0-5.9)</t>
        </is>
      </c>
    </row>
    <row r="106">
      <c r="A106" s="8" t="inlineStr">
        <is>
          <t>2019-10-29 01:04:43.000</t>
        </is>
      </c>
      <c r="B106" s="8" t="n">
        <v>2019</v>
      </c>
      <c r="C106" s="9" t="n">
        <v>6.81</v>
      </c>
      <c r="D106" s="9" t="n">
        <v>125.03</v>
      </c>
      <c r="E106" s="8" t="n">
        <v>7</v>
      </c>
      <c r="F106" s="9" t="n">
        <v>6.6</v>
      </c>
      <c r="G106" s="9" t="n">
        <v>20</v>
      </c>
      <c r="H106" s="9" t="n">
        <v>6.3</v>
      </c>
      <c r="I106" s="9" t="n">
        <v>4.709999999999999</v>
      </c>
      <c r="J106" s="9" t="n">
        <v>0.7129270760138263</v>
      </c>
      <c r="K106" s="9" t="n">
        <v>4.242493875598561</v>
      </c>
      <c r="L106" s="9" t="n">
        <v>0.1408695423457107</v>
      </c>
      <c r="M106" s="9" t="n">
        <v>0.1384397585982306</v>
      </c>
      <c r="N106" s="9" t="n">
        <v>0.812349390610402</v>
      </c>
      <c r="O106" s="9" t="n">
        <v>4.769515610053646</v>
      </c>
      <c r="P106" s="9" t="n">
        <v>0.1828995360439234</v>
      </c>
      <c r="Q106" s="9" t="n">
        <v>0.1476928021357836</v>
      </c>
      <c r="R106" s="9" t="n">
        <v>0.3491895758546226</v>
      </c>
      <c r="S106" s="9" t="n">
        <v>0.4287386127417214</v>
      </c>
      <c r="T106" s="9" t="n">
        <v>483614295871.9974</v>
      </c>
      <c r="U106" s="9" t="n">
        <v>0.0072647181895489</v>
      </c>
      <c r="V106" s="9" t="n">
        <v>0.0036555424218264</v>
      </c>
      <c r="W106" s="9" t="n">
        <v>3.385658956121272</v>
      </c>
      <c r="X106" s="9" t="n">
        <v>16.15788615057869</v>
      </c>
      <c r="Y106" s="9" t="n">
        <v>1.88740102042918</v>
      </c>
      <c r="Z106" s="9" t="n">
        <v>7.69153860846162</v>
      </c>
      <c r="AA106" s="9" t="n">
        <v>3.299469689790767</v>
      </c>
      <c r="AB106" s="9" t="n">
        <v>8.752112417684501</v>
      </c>
      <c r="AC106" s="9" t="n">
        <v>-0.80656809931902</v>
      </c>
      <c r="AD106" s="9" t="n">
        <v>12.56085648148292</v>
      </c>
      <c r="AE106" s="9" t="n">
        <v>25748.98693287037</v>
      </c>
      <c r="AF106" s="9" t="n">
        <v>25748.98693287037</v>
      </c>
      <c r="AG106" s="9" t="n">
        <v>43535.17270833333</v>
      </c>
      <c r="AH106" s="8" t="inlineStr">
        <is>
          <t>Strong (6.0-6.9)</t>
        </is>
      </c>
    </row>
    <row r="107">
      <c r="A107" s="8" t="inlineStr">
        <is>
          <t>2019-10-29 02:42:38.000</t>
        </is>
      </c>
      <c r="B107" s="8" t="n">
        <v>2019</v>
      </c>
      <c r="C107" s="9" t="n">
        <v>6.85</v>
      </c>
      <c r="D107" s="9" t="n">
        <v>125.02</v>
      </c>
      <c r="E107" s="8" t="n">
        <v>11</v>
      </c>
      <c r="F107" s="9" t="n">
        <v>6.1</v>
      </c>
      <c r="G107" s="9" t="n">
        <v>24</v>
      </c>
      <c r="H107" s="9" t="n">
        <v>6.6</v>
      </c>
      <c r="I107" s="9" t="n">
        <v>4.775</v>
      </c>
      <c r="J107" s="9" t="n">
        <v>0.5466555498737863</v>
      </c>
      <c r="K107" s="9" t="n">
        <v>3.54345465208277</v>
      </c>
      <c r="L107" s="9" t="n">
        <v>0.08875599903664511</v>
      </c>
      <c r="M107" s="9" t="n">
        <v>0.1204428347123452</v>
      </c>
      <c r="N107" s="9" t="n">
        <v>0.7163620320053636</v>
      </c>
      <c r="O107" s="9" t="n">
        <v>4.427749126680061</v>
      </c>
      <c r="P107" s="9" t="n">
        <v>0.1524176681211234</v>
      </c>
      <c r="Q107" s="9" t="n">
        <v>0.1637907483160375</v>
      </c>
      <c r="R107" s="9" t="n">
        <v>0.1179389418055016</v>
      </c>
      <c r="S107" s="9" t="n">
        <v>0.4191180871421309</v>
      </c>
      <c r="T107" s="9" t="n">
        <v>996677759262.308</v>
      </c>
      <c r="U107" s="9" t="n">
        <v>0.0229104358002543</v>
      </c>
      <c r="V107" s="9" t="n">
        <v>0.0070943711279426</v>
      </c>
      <c r="W107" s="9" t="n">
        <v>2.009324059869412</v>
      </c>
      <c r="X107" s="9" t="n">
        <v>18.49550870032619</v>
      </c>
      <c r="Y107" s="9" t="n">
        <v>1.88740102042918</v>
      </c>
      <c r="Z107" s="9" t="n">
        <v>7.620326292831755</v>
      </c>
      <c r="AA107" s="9" t="n">
        <v>3.013606654153629</v>
      </c>
      <c r="AB107" s="9" t="n">
        <v>7.479077678082147</v>
      </c>
      <c r="AC107" s="9" t="n">
        <v>-0.1935400786189999</v>
      </c>
      <c r="AD107" s="9" t="n">
        <v>0.0679976851824903</v>
      </c>
      <c r="AE107" s="9" t="n">
        <v>0.0679976851824903</v>
      </c>
      <c r="AF107" s="9" t="n">
        <v>25749.05493055556</v>
      </c>
      <c r="AG107" s="9" t="n">
        <v>43535.17270833333</v>
      </c>
      <c r="AH107" s="8" t="inlineStr">
        <is>
          <t>Strong (6.0-6.9)</t>
        </is>
      </c>
    </row>
    <row r="108">
      <c r="A108" s="8" t="inlineStr">
        <is>
          <t>2019-10-31 01:11:18.000</t>
        </is>
      </c>
      <c r="B108" s="8" t="n">
        <v>2019</v>
      </c>
      <c r="C108" s="9" t="n">
        <v>6.92</v>
      </c>
      <c r="D108" s="9" t="n">
        <v>125.06</v>
      </c>
      <c r="E108" s="8" t="n">
        <v>8</v>
      </c>
      <c r="F108" s="9" t="n">
        <v>6.5</v>
      </c>
      <c r="G108" s="9" t="n">
        <v>41</v>
      </c>
      <c r="H108" s="9" t="n">
        <v>6.6</v>
      </c>
      <c r="I108" s="9" t="n">
        <v>4.631707317073171</v>
      </c>
      <c r="J108" s="9" t="n">
        <v>0.6539738955919395</v>
      </c>
      <c r="K108" s="9" t="n">
        <v>4.13283071674269</v>
      </c>
      <c r="L108" s="9" t="n">
        <v>0.0791896561355549</v>
      </c>
      <c r="M108" s="9" t="n">
        <v>0.1411033945641719</v>
      </c>
      <c r="N108" s="9" t="n">
        <v>0.8958540882309214</v>
      </c>
      <c r="O108" s="9" t="n">
        <v>5.393071233056739</v>
      </c>
      <c r="P108" s="9" t="n">
        <v>0.1486011569811454</v>
      </c>
      <c r="Q108" s="9" t="n">
        <v>0.209895034151437</v>
      </c>
      <c r="R108" s="9" t="n">
        <v>0.2804347320287306</v>
      </c>
      <c r="S108" s="9" t="n">
        <v>0.5799669344517353</v>
      </c>
      <c r="T108" s="9" t="n">
        <v>933072966948.2622</v>
      </c>
      <c r="U108" s="9" t="n">
        <v>0.0109163716584045</v>
      </c>
      <c r="V108" s="9" t="n">
        <v>0.0020532306341845</v>
      </c>
      <c r="W108" s="9" t="n">
        <v>-0.4457001779769093</v>
      </c>
      <c r="X108" s="9" t="n">
        <v>26.01328836350449</v>
      </c>
      <c r="Y108" s="9" t="n">
        <v>1.88740102042918</v>
      </c>
      <c r="Z108" s="9" t="n">
        <v>9.685405423073352</v>
      </c>
      <c r="AA108" s="9" t="n">
        <v>6.135094112491911</v>
      </c>
      <c r="AB108" s="9" t="n">
        <v>7.792018648064892</v>
      </c>
      <c r="AC108" s="9" t="n">
        <v>0.3694455731006552</v>
      </c>
      <c r="AD108" s="9" t="n">
        <v>1.936574074075906</v>
      </c>
      <c r="AE108" s="9" t="n">
        <v>2.004571759258397</v>
      </c>
      <c r="AF108" s="9" t="n">
        <v>25750.99150462963</v>
      </c>
      <c r="AG108" s="9" t="n">
        <v>43535.17270833333</v>
      </c>
      <c r="AH108" s="8" t="inlineStr">
        <is>
          <t>Strong (6.0-6.9)</t>
        </is>
      </c>
    </row>
  </sheetData>
  <autoFilter ref="A1:AH1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2" customWidth="1" min="13" max="13"/>
    <col width="10" customWidth="1" min="14" max="14"/>
    <col width="10" customWidth="1" min="15" max="15"/>
    <col width="11" customWidth="1" min="16" max="16"/>
    <col width="12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1" customWidth="1" min="26" max="26"/>
    <col width="10" customWidth="1" min="27" max="27"/>
    <col width="12" customWidth="1" min="28" max="28"/>
    <col width="12" customWidth="1" min="29" max="29"/>
    <col width="10" customWidth="1" min="30" max="30"/>
    <col width="11" customWidth="1" min="31" max="31"/>
    <col width="10" customWidth="1" min="32" max="32"/>
    <col width="11" customWidth="1" min="33" max="33"/>
    <col width="13" customWidth="1" min="34" max="34"/>
  </cols>
  <sheetData>
    <row r="1">
      <c r="A1" s="7" t="inlineStr">
        <is>
          <t>MainshockTime</t>
        </is>
      </c>
      <c r="B1" s="7" t="inlineStr">
        <is>
          <t>MainshockYear</t>
        </is>
      </c>
      <c r="C1" s="7" t="inlineStr">
        <is>
          <t>MainshockLat</t>
        </is>
      </c>
      <c r="D1" s="7" t="inlineStr">
        <is>
          <t>MainshockLon</t>
        </is>
      </c>
      <c r="E1" s="7" t="inlineStr">
        <is>
          <t>MainshockDepth</t>
        </is>
      </c>
      <c r="F1" s="7" t="inlineStr">
        <is>
          <t>Target</t>
        </is>
      </c>
      <c r="G1" s="7" t="inlineStr">
        <is>
          <t>NO</t>
        </is>
      </c>
      <c r="H1" s="7" t="inlineStr">
        <is>
          <t>Mag_max</t>
        </is>
      </c>
      <c r="I1" s="7" t="inlineStr">
        <is>
          <t>Mag_mean</t>
        </is>
      </c>
      <c r="J1" s="7" t="inlineStr">
        <is>
          <t>b_lsq</t>
        </is>
      </c>
      <c r="K1" s="7" t="inlineStr">
        <is>
          <t>a_lsq</t>
        </is>
      </c>
      <c r="L1" s="7" t="inlineStr">
        <is>
          <t>b_std_lsq</t>
        </is>
      </c>
      <c r="M1" s="7" t="inlineStr">
        <is>
          <t>std_gr_lsq</t>
        </is>
      </c>
      <c r="N1" s="7" t="inlineStr">
        <is>
          <t>b_mlk</t>
        </is>
      </c>
      <c r="O1" s="7" t="inlineStr">
        <is>
          <t>a_mlk</t>
        </is>
      </c>
      <c r="P1" s="7" t="inlineStr">
        <is>
          <t>b_std_mlk</t>
        </is>
      </c>
      <c r="Q1" s="7" t="inlineStr">
        <is>
          <t>std_gr_mlk</t>
        </is>
      </c>
      <c r="R1" s="7" t="inlineStr">
        <is>
          <t>dM_lsq</t>
        </is>
      </c>
      <c r="S1" s="7" t="inlineStr">
        <is>
          <t>dM_mlk</t>
        </is>
      </c>
      <c r="T1" s="7" t="inlineStr">
        <is>
          <t>Energy</t>
        </is>
      </c>
      <c r="U1" s="7" t="inlineStr">
        <is>
          <t>x7_lsq</t>
        </is>
      </c>
      <c r="V1" s="7" t="inlineStr">
        <is>
          <t>x7_mlk</t>
        </is>
      </c>
      <c r="W1" s="7" t="inlineStr">
        <is>
          <t>zvalue</t>
        </is>
      </c>
      <c r="X1" s="7" t="inlineStr">
        <is>
          <t>beta</t>
        </is>
      </c>
      <c r="Y1" s="7" t="inlineStr">
        <is>
          <t>Dist_min</t>
        </is>
      </c>
      <c r="Z1" s="7" t="inlineStr">
        <is>
          <t>Dist_mean</t>
        </is>
      </c>
      <c r="AA1" s="7" t="inlineStr">
        <is>
          <t>Dist_std</t>
        </is>
      </c>
      <c r="AB1" s="7" t="inlineStr">
        <is>
          <t>Dist_wmean</t>
        </is>
      </c>
      <c r="AC1" s="7" t="inlineStr">
        <is>
          <t>Dist_trend</t>
        </is>
      </c>
      <c r="AD1" s="7" t="inlineStr">
        <is>
          <t>T_elaps6</t>
        </is>
      </c>
      <c r="AE1" s="7" t="inlineStr">
        <is>
          <t>T_elaps65</t>
        </is>
      </c>
      <c r="AF1" s="7" t="inlineStr">
        <is>
          <t>T_elaps7</t>
        </is>
      </c>
      <c r="AG1" s="7" t="inlineStr">
        <is>
          <t>T_elaps75</t>
        </is>
      </c>
      <c r="AH1" s="7" t="inlineStr">
        <is>
          <t>TargetClass</t>
        </is>
      </c>
    </row>
    <row r="2">
      <c r="A2" s="8" t="inlineStr">
        <is>
          <t>2019-11-18 13:22:08.000</t>
        </is>
      </c>
      <c r="B2" s="8" t="n">
        <v>2019</v>
      </c>
      <c r="C2" s="9" t="n">
        <v>7.67</v>
      </c>
      <c r="D2" s="9" t="n">
        <v>124.89</v>
      </c>
      <c r="E2" s="8" t="n">
        <v>6</v>
      </c>
      <c r="F2" s="9" t="n">
        <v>5.9</v>
      </c>
      <c r="G2" s="9" t="n">
        <v>4</v>
      </c>
      <c r="H2" s="9" t="n">
        <v>4.3</v>
      </c>
      <c r="I2" s="9" t="n">
        <v>4.175</v>
      </c>
      <c r="J2" s="9" t="n">
        <v>3.010299956639797</v>
      </c>
      <c r="K2" s="9" t="n">
        <v>12.94428981355113</v>
      </c>
      <c r="L2" s="9" t="n">
        <v>0.9977531431852809</v>
      </c>
      <c r="M2" s="9" t="n">
        <v>1.75058268228295e-15</v>
      </c>
      <c r="N2" s="9" t="n">
        <v>3.474355855226015</v>
      </c>
      <c r="O2" s="9" t="n">
        <v>14.84691899775462</v>
      </c>
      <c r="P2" s="9" t="n">
        <v>1.329083163473096</v>
      </c>
      <c r="Q2" s="9" t="n">
        <v>0.2093473030938976</v>
      </c>
      <c r="R2" s="9" t="n">
        <v>-8.881784197001252e-16</v>
      </c>
      <c r="S2" s="9" t="n">
        <v>0.0267132048600142</v>
      </c>
      <c r="T2" s="9" t="n">
        <v>11799938611.83873</v>
      </c>
      <c r="U2" s="9" t="n">
        <v>9.313225746155776e-10</v>
      </c>
      <c r="V2" s="9" t="n">
        <v>3.775134544279108e-11</v>
      </c>
      <c r="W2" s="9" t="n">
        <v>0</v>
      </c>
      <c r="X2" s="9" t="n">
        <v>1.17745868111411</v>
      </c>
      <c r="Y2" s="9" t="n">
        <v>3.89094434192552</v>
      </c>
      <c r="Z2" s="9" t="n">
        <v>19.44627559273161</v>
      </c>
      <c r="AA2" s="9" t="n">
        <v>22.33541473464609</v>
      </c>
      <c r="AB2" s="9" t="n">
        <v>24.60921232403655</v>
      </c>
      <c r="AC2" s="9" t="n">
        <v>3.941078520733103</v>
      </c>
      <c r="AD2" s="9" t="n">
        <v>18.50752314814599</v>
      </c>
      <c r="AE2" s="9" t="n">
        <v>18.50752314814599</v>
      </c>
      <c r="AF2" s="9" t="n">
        <v>23607.79513425926</v>
      </c>
      <c r="AG2" s="9" t="n">
        <v>43535.17270833333</v>
      </c>
      <c r="AH2" s="8" t="inlineStr">
        <is>
          <t>Moderate (5.0-5.9)</t>
        </is>
      </c>
    </row>
    <row r="3">
      <c r="A3" s="8" t="inlineStr">
        <is>
          <t>2020-02-06 13:40:02.000</t>
        </is>
      </c>
      <c r="B3" s="8" t="n">
        <v>2020</v>
      </c>
      <c r="C3" s="9" t="n">
        <v>5.28</v>
      </c>
      <c r="D3" s="9" t="n">
        <v>126.56</v>
      </c>
      <c r="E3" s="8" t="n">
        <v>1</v>
      </c>
      <c r="F3" s="9" t="n">
        <v>6.1</v>
      </c>
      <c r="G3" s="9" t="n">
        <v>3</v>
      </c>
      <c r="H3" s="9" t="n">
        <v>4.6</v>
      </c>
      <c r="I3" s="9" t="n">
        <v>4.233333333333333</v>
      </c>
      <c r="J3" s="9" t="n">
        <v>0.7262227698167678</v>
      </c>
      <c r="K3" s="9" t="n">
        <v>3.233922374552621</v>
      </c>
      <c r="L3" s="9" t="n">
        <v>0.2251267756820721</v>
      </c>
      <c r="M3" s="9" t="n">
        <v>0.1183843457259888</v>
      </c>
      <c r="N3" s="9" t="n">
        <v>1.532804053776184</v>
      </c>
      <c r="O3" s="9" t="n">
        <v>6.608337469824397</v>
      </c>
      <c r="P3" s="9" t="n">
        <v>1.002907106814628</v>
      </c>
      <c r="Q3" s="9" t="n">
        <v>0.2337910964261923</v>
      </c>
      <c r="R3" s="9" t="n">
        <v>0.1469278726022764</v>
      </c>
      <c r="S3" s="9" t="n">
        <v>0.2887265182107015</v>
      </c>
      <c r="T3" s="9" t="n">
        <v>15178383738.43312</v>
      </c>
      <c r="U3" s="9" t="n">
        <v>0.0066272246190612</v>
      </c>
      <c r="V3" s="9" t="n">
        <v>2.521087033094869e-05</v>
      </c>
      <c r="W3" s="9" t="n">
        <v>-1.441153384245784</v>
      </c>
      <c r="X3" s="9" t="n">
        <v>0.8709679470767939</v>
      </c>
      <c r="Y3" s="9" t="n">
        <v>84.91960221425661</v>
      </c>
      <c r="Z3" s="9" t="n">
        <v>88.36013481179661</v>
      </c>
      <c r="AA3" s="9" t="n">
        <v>3.044133762026242</v>
      </c>
      <c r="AB3" s="9" t="n">
        <v>88.95840057764821</v>
      </c>
      <c r="AC3" s="9" t="n">
        <v>-0.7075112666625426</v>
      </c>
      <c r="AD3" s="9" t="n">
        <v>130.4841666666689</v>
      </c>
      <c r="AE3" s="9" t="n">
        <v>404.4173475694406</v>
      </c>
      <c r="AF3" s="9" t="n">
        <v>404.4173475694406</v>
      </c>
      <c r="AG3" s="9" t="n">
        <v>39045.20488425926</v>
      </c>
      <c r="AH3" s="8" t="inlineStr">
        <is>
          <t>Strong (6.0-6.9)</t>
        </is>
      </c>
    </row>
    <row r="4">
      <c r="A4" s="8" t="inlineStr">
        <is>
          <t>2020-08-18 00:03:47.000</t>
        </is>
      </c>
      <c r="B4" s="8" t="n">
        <v>2020</v>
      </c>
      <c r="C4" s="9" t="n">
        <v>11.98</v>
      </c>
      <c r="D4" s="9" t="n">
        <v>124.01</v>
      </c>
      <c r="E4" s="8" t="n">
        <v>13</v>
      </c>
      <c r="F4" s="9" t="n">
        <v>6.6</v>
      </c>
      <c r="G4" s="9" t="n">
        <v>6</v>
      </c>
      <c r="H4" s="9" t="n">
        <v>4.9</v>
      </c>
      <c r="I4" s="9" t="n">
        <v>4.4</v>
      </c>
      <c r="J4" s="9" t="n">
        <v>1.111244494184631</v>
      </c>
      <c r="K4" s="9" t="n">
        <v>5.35368885375402</v>
      </c>
      <c r="L4" s="9" t="n">
        <v>0.366666687612953</v>
      </c>
      <c r="M4" s="9" t="n">
        <v>0.0687639826277754</v>
      </c>
      <c r="N4" s="9" t="n">
        <v>1.316043884555312</v>
      </c>
      <c r="O4" s="9" t="n">
        <v>6.226354319468328</v>
      </c>
      <c r="P4" s="9" t="n">
        <v>0.5142720879337551</v>
      </c>
      <c r="Q4" s="9" t="n">
        <v>0.1201441699458543</v>
      </c>
      <c r="R4" s="9" t="n">
        <v>0.08225837628805791</v>
      </c>
      <c r="S4" s="9" t="n">
        <v>0.1688854888967483</v>
      </c>
      <c r="T4" s="9" t="n">
        <v>32272693127.49672</v>
      </c>
      <c r="U4" s="9" t="n">
        <v>0.0004637314147095</v>
      </c>
      <c r="V4" s="9" t="n">
        <v>0.0001126855805077</v>
      </c>
      <c r="W4" s="9" t="n">
        <v>0</v>
      </c>
      <c r="X4" s="9" t="n">
        <v>7.944644274971296</v>
      </c>
      <c r="Y4" s="9" t="n">
        <v>1.12790465020819</v>
      </c>
      <c r="Z4" s="9" t="n">
        <v>4.157487241847277</v>
      </c>
      <c r="AA4" s="9" t="n">
        <v>1.850159560099394</v>
      </c>
      <c r="AB4" s="9" t="n">
        <v>3.935778424436986</v>
      </c>
      <c r="AC4" s="9" t="n">
        <v>0.2229203448597292</v>
      </c>
      <c r="AD4" s="9" t="n">
        <v>6262.411128356478</v>
      </c>
      <c r="AE4" s="9" t="n">
        <v>23010.64362268518</v>
      </c>
      <c r="AF4" s="9" t="n">
        <v>38510.38561342593</v>
      </c>
      <c r="AG4" s="9" t="n">
        <v>43535.17270833333</v>
      </c>
      <c r="AH4" s="8" t="inlineStr">
        <is>
          <t>Strong (6.0-6.9)</t>
        </is>
      </c>
    </row>
    <row r="5">
      <c r="A5" s="8" t="inlineStr">
        <is>
          <t>2020-09-09 03:41:05.000</t>
        </is>
      </c>
      <c r="B5" s="8" t="n">
        <v>2020</v>
      </c>
      <c r="C5" s="9" t="n">
        <v>3.79</v>
      </c>
      <c r="D5" s="9" t="n">
        <v>126.74</v>
      </c>
      <c r="E5" s="8" t="n">
        <v>1</v>
      </c>
      <c r="F5" s="9" t="n">
        <v>5.5</v>
      </c>
      <c r="G5" s="9" t="n">
        <v>3</v>
      </c>
      <c r="H5" s="9" t="n">
        <v>4.5</v>
      </c>
      <c r="I5" s="9" t="n">
        <v>4.3</v>
      </c>
      <c r="J5" s="9" t="n">
        <v>1.43136376415898</v>
      </c>
      <c r="K5" s="9" t="n">
        <v>6.34571268777148</v>
      </c>
      <c r="L5" s="9" t="n">
        <v>0.4712245118298936</v>
      </c>
      <c r="M5" s="9" t="n">
        <v>0.1508789884991496</v>
      </c>
      <c r="N5" s="9" t="n">
        <v>2.895296546021689</v>
      </c>
      <c r="O5" s="9" t="n">
        <v>12.63736674801076</v>
      </c>
      <c r="P5" s="9" t="n">
        <v>1.928030680563177</v>
      </c>
      <c r="Q5" s="9" t="n">
        <v>0.2574418656994659</v>
      </c>
      <c r="R5" s="9" t="n">
        <v>0.0666666666666673</v>
      </c>
      <c r="S5" s="9" t="n">
        <v>0.1352081566997842</v>
      </c>
      <c r="T5" s="9" t="n">
        <v>14089292109.02511</v>
      </c>
      <c r="U5" s="9" t="n">
        <v>5.080526342529328e-05</v>
      </c>
      <c r="V5" s="9" t="n">
        <v>2.061153622438413e-09</v>
      </c>
      <c r="W5" s="9" t="n">
        <v>-1</v>
      </c>
      <c r="X5" s="9" t="n">
        <v>2.045093304647569</v>
      </c>
      <c r="Y5" s="9" t="n">
        <v>175.346746296763</v>
      </c>
      <c r="Z5" s="9" t="n">
        <v>193.8905196883844</v>
      </c>
      <c r="AA5" s="9" t="n">
        <v>18.23188307435617</v>
      </c>
      <c r="AB5" s="9" t="n">
        <v>186.8923874316541</v>
      </c>
      <c r="AC5" s="9" t="n">
        <v>-109.132642041202</v>
      </c>
      <c r="AD5" s="9" t="n">
        <v>4104.932931944444</v>
      </c>
      <c r="AE5" s="9" t="n">
        <v>4227.420972222222</v>
      </c>
      <c r="AF5" s="9" t="n">
        <v>4227.420972222222</v>
      </c>
      <c r="AG5" s="9" t="n">
        <v>4227.420972222222</v>
      </c>
      <c r="AH5" s="8" t="inlineStr">
        <is>
          <t>Moderate (5.0-5.9)</t>
        </is>
      </c>
    </row>
    <row r="6">
      <c r="A6" s="8" t="inlineStr">
        <is>
          <t>2020-09-09 07:18:30.000</t>
        </is>
      </c>
      <c r="B6" s="8" t="n">
        <v>2020</v>
      </c>
      <c r="C6" s="9" t="n">
        <v>3.44</v>
      </c>
      <c r="D6" s="9" t="n">
        <v>126.28</v>
      </c>
      <c r="E6" s="8" t="n">
        <v>1</v>
      </c>
      <c r="F6" s="9" t="n">
        <v>5.9</v>
      </c>
      <c r="G6" s="9" t="n">
        <v>4</v>
      </c>
      <c r="H6" s="9" t="n">
        <v>5.5</v>
      </c>
      <c r="I6" s="9" t="n">
        <v>4.6</v>
      </c>
      <c r="J6" s="9" t="n">
        <v>0.3506503246195825</v>
      </c>
      <c r="K6" s="9" t="n">
        <v>1.808164787142112</v>
      </c>
      <c r="L6" s="9" t="n">
        <v>0.08716419612993841</v>
      </c>
      <c r="M6" s="9" t="n">
        <v>0.1217783475058273</v>
      </c>
      <c r="N6" s="9" t="n">
        <v>0.9650988486738944</v>
      </c>
      <c r="O6" s="9" t="n">
        <v>4.655475155758319</v>
      </c>
      <c r="P6" s="9" t="n">
        <v>0.6602877403009675</v>
      </c>
      <c r="Q6" s="9" t="n">
        <v>0.3160428998694263</v>
      </c>
      <c r="R6" s="9" t="n">
        <v>0.3433962264150931</v>
      </c>
      <c r="S6" s="9" t="n">
        <v>0.6761675374960507</v>
      </c>
      <c r="T6" s="9" t="n">
        <v>90231870751.8371</v>
      </c>
      <c r="U6" s="9" t="n">
        <v>0.08872561659492011</v>
      </c>
      <c r="V6" s="9" t="n">
        <v>0.0012726338013397</v>
      </c>
      <c r="W6" s="9" t="n">
        <v>-0.9999999999999998</v>
      </c>
      <c r="X6" s="9" t="n">
        <v>3.629704977319406</v>
      </c>
      <c r="Y6" s="9" t="n">
        <v>175.346746296763</v>
      </c>
      <c r="Z6" s="9" t="n">
        <v>191.9419509058982</v>
      </c>
      <c r="AA6" s="9" t="n">
        <v>15.38794078139265</v>
      </c>
      <c r="AB6" s="9" t="n">
        <v>186.1370789129271</v>
      </c>
      <c r="AC6" s="9" t="n">
        <v>-87.03247027752359</v>
      </c>
      <c r="AD6" s="9" t="n">
        <v>4227.571956018517</v>
      </c>
      <c r="AE6" s="9" t="n">
        <v>4227.571956018517</v>
      </c>
      <c r="AF6" s="9" t="n">
        <v>4227.571956018517</v>
      </c>
      <c r="AG6" s="9" t="n">
        <v>4227.571956018517</v>
      </c>
      <c r="AH6" s="8" t="inlineStr">
        <is>
          <t>Moderate (5.0-5.9)</t>
        </is>
      </c>
    </row>
    <row r="7">
      <c r="A7" s="8" t="inlineStr">
        <is>
          <t>2020-09-20 22:21:46.000</t>
        </is>
      </c>
      <c r="B7" s="8" t="n">
        <v>2020</v>
      </c>
      <c r="C7" s="9" t="n">
        <v>9.380000000000001</v>
      </c>
      <c r="D7" s="9" t="n">
        <v>127.04</v>
      </c>
      <c r="E7" s="8" t="n">
        <v>7</v>
      </c>
      <c r="F7" s="9" t="n">
        <v>5.2</v>
      </c>
      <c r="G7" s="9" t="n">
        <v>3</v>
      </c>
      <c r="H7" s="9" t="n">
        <v>5.7</v>
      </c>
      <c r="I7" s="9" t="n">
        <v>4.633333333333333</v>
      </c>
      <c r="J7" s="9" t="n">
        <v>0.1706904149517622</v>
      </c>
      <c r="K7" s="9" t="n">
        <v>0.887803026185359</v>
      </c>
      <c r="L7" s="9" t="n">
        <v>0.0359479998900802</v>
      </c>
      <c r="M7" s="9" t="n">
        <v>0.1092813130483107</v>
      </c>
      <c r="N7" s="9" t="n">
        <v>0.6355529003462228</v>
      </c>
      <c r="O7" s="9" t="n">
        <v>3.019332856104554</v>
      </c>
      <c r="P7" s="9" t="n">
        <v>0.4983791594267054</v>
      </c>
      <c r="Q7" s="9" t="n">
        <v>0.2992706050564357</v>
      </c>
      <c r="R7" s="9" t="n">
        <v>0.4987528975411086</v>
      </c>
      <c r="S7" s="9" t="n">
        <v>0.9492816027434589</v>
      </c>
      <c r="T7" s="9" t="n">
        <v>135089471549.4192</v>
      </c>
      <c r="U7" s="9" t="n">
        <v>0.3075592230624301</v>
      </c>
      <c r="V7" s="9" t="n">
        <v>0.0123977050211605</v>
      </c>
      <c r="W7" s="9" t="n">
        <v>-0.4472135954999578</v>
      </c>
      <c r="X7" s="9" t="n">
        <v>2.599710778816777</v>
      </c>
      <c r="Y7" s="9" t="n">
        <v>7.71910435784961</v>
      </c>
      <c r="Z7" s="9" t="n">
        <v>11.1608384491322</v>
      </c>
      <c r="AA7" s="9" t="n">
        <v>2.980966860087661</v>
      </c>
      <c r="AB7" s="9" t="n">
        <v>7.762196350836874</v>
      </c>
      <c r="AC7" s="9" t="n">
        <v>-0.323692134400908</v>
      </c>
      <c r="AD7" s="9" t="n">
        <v>2879.169592592589</v>
      </c>
      <c r="AE7" s="9" t="n">
        <v>2879.169592592589</v>
      </c>
      <c r="AF7" s="9" t="n">
        <v>25022.47545138888</v>
      </c>
      <c r="AG7" s="9" t="n">
        <v>25022.47545138888</v>
      </c>
      <c r="AH7" s="8" t="inlineStr">
        <is>
          <t>Moderate (5.0-5.9)</t>
        </is>
      </c>
    </row>
    <row r="8">
      <c r="A8" s="8" t="inlineStr">
        <is>
          <t>2020-09-24 02:25:58.000</t>
        </is>
      </c>
      <c r="B8" s="8" t="n">
        <v>2020</v>
      </c>
      <c r="C8" s="9" t="n">
        <v>9.35</v>
      </c>
      <c r="D8" s="9" t="n">
        <v>126.88</v>
      </c>
      <c r="E8" s="8" t="n">
        <v>16</v>
      </c>
      <c r="F8" s="9" t="n">
        <v>5.2</v>
      </c>
      <c r="G8" s="9" t="n">
        <v>13</v>
      </c>
      <c r="H8" s="9" t="n">
        <v>5.7</v>
      </c>
      <c r="I8" s="9" t="n">
        <v>4.392307692307693</v>
      </c>
      <c r="J8" s="9" t="n">
        <v>0.5535195080678057</v>
      </c>
      <c r="K8" s="9" t="n">
        <v>3.067147142333493</v>
      </c>
      <c r="L8" s="9" t="n">
        <v>0.1029445477378323</v>
      </c>
      <c r="M8" s="9" t="n">
        <v>0.0774188957152431</v>
      </c>
      <c r="N8" s="9" t="n">
        <v>0.8106830328860702</v>
      </c>
      <c r="O8" s="9" t="n">
        <v>4.249966778135752</v>
      </c>
      <c r="P8" s="9" t="n">
        <v>0.2208206347413562</v>
      </c>
      <c r="Q8" s="9" t="n">
        <v>0.1647812946783944</v>
      </c>
      <c r="R8" s="9" t="n">
        <v>0.1588273807365618</v>
      </c>
      <c r="S8" s="9" t="n">
        <v>0.4575481344346537</v>
      </c>
      <c r="T8" s="9" t="n">
        <v>145585921918.1305</v>
      </c>
      <c r="U8" s="9" t="n">
        <v>0.0218494986261598</v>
      </c>
      <c r="V8" s="9" t="n">
        <v>0.0036978637164829</v>
      </c>
      <c r="W8" s="9" t="n">
        <v>-2.157277486520024</v>
      </c>
      <c r="X8" s="9" t="n">
        <v>11.4940498171614</v>
      </c>
      <c r="Y8" s="9" t="n">
        <v>3.89002636176121</v>
      </c>
      <c r="Z8" s="9" t="n">
        <v>15.7173990767313</v>
      </c>
      <c r="AA8" s="9" t="n">
        <v>8.282325946462215</v>
      </c>
      <c r="AB8" s="9" t="n">
        <v>10.1174288927904</v>
      </c>
      <c r="AC8" s="9" t="n">
        <v>0.8801233177741304</v>
      </c>
      <c r="AD8" s="9" t="n">
        <v>2882.339175925925</v>
      </c>
      <c r="AE8" s="9" t="n">
        <v>2882.339175925925</v>
      </c>
      <c r="AF8" s="9" t="n">
        <v>25025.64503472222</v>
      </c>
      <c r="AG8" s="9" t="n">
        <v>25025.64503472222</v>
      </c>
      <c r="AH8" s="8" t="inlineStr">
        <is>
          <t>Moderate (5.0-5.9)</t>
        </is>
      </c>
    </row>
    <row r="9">
      <c r="A9" s="8" t="inlineStr">
        <is>
          <t>2020-09-30 22:10:50.000</t>
        </is>
      </c>
      <c r="B9" s="8" t="n">
        <v>2020</v>
      </c>
      <c r="C9" s="9" t="n">
        <v>9.23</v>
      </c>
      <c r="D9" s="9" t="n">
        <v>126.59</v>
      </c>
      <c r="E9" s="8" t="n">
        <v>15</v>
      </c>
      <c r="F9" s="9" t="n">
        <v>5.3</v>
      </c>
      <c r="G9" s="9" t="n">
        <v>21</v>
      </c>
      <c r="H9" s="9" t="n">
        <v>5.7</v>
      </c>
      <c r="I9" s="9" t="n">
        <v>4.414285714285715</v>
      </c>
      <c r="J9" s="9" t="n">
        <v>0.8064210334815454</v>
      </c>
      <c r="K9" s="9" t="n">
        <v>4.481969004465462</v>
      </c>
      <c r="L9" s="9" t="n">
        <v>0.1535389516643922</v>
      </c>
      <c r="M9" s="9" t="n">
        <v>0.1003468231193294</v>
      </c>
      <c r="N9" s="9" t="n">
        <v>0.875322211587951</v>
      </c>
      <c r="O9" s="9" t="n">
        <v>4.790296640976231</v>
      </c>
      <c r="P9" s="9" t="n">
        <v>0.1808967546208445</v>
      </c>
      <c r="Q9" s="9" t="n">
        <v>0.1044415764808591</v>
      </c>
      <c r="R9" s="9" t="n">
        <v>0.1421476891351076</v>
      </c>
      <c r="S9" s="9" t="n">
        <v>0.2273905111056242</v>
      </c>
      <c r="T9" s="9" t="n">
        <v>155621599532.598</v>
      </c>
      <c r="U9" s="9" t="n">
        <v>0.0038083503937741</v>
      </c>
      <c r="V9" s="9" t="n">
        <v>0.0023661014693136</v>
      </c>
      <c r="W9" s="9" t="n">
        <v>-0.4146981098256821</v>
      </c>
      <c r="X9" s="9" t="n">
        <v>16.76120909833567</v>
      </c>
      <c r="Y9" s="9" t="n">
        <v>3.59537068610242</v>
      </c>
      <c r="Z9" s="9" t="n">
        <v>16.23042936544729</v>
      </c>
      <c r="AA9" s="9" t="n">
        <v>8.624918053641521</v>
      </c>
      <c r="AB9" s="9" t="n">
        <v>11.90080134848062</v>
      </c>
      <c r="AC9" s="9" t="n">
        <v>-0.1832875819145951</v>
      </c>
      <c r="AD9" s="9" t="n">
        <v>2889.161999999997</v>
      </c>
      <c r="AE9" s="9" t="n">
        <v>2889.161999999997</v>
      </c>
      <c r="AF9" s="9" t="n">
        <v>25032.46785879629</v>
      </c>
      <c r="AG9" s="9" t="n">
        <v>25032.46785879629</v>
      </c>
      <c r="AH9" s="8" t="inlineStr">
        <is>
          <t>Moderate (5.0-5.9)</t>
        </is>
      </c>
    </row>
    <row r="10">
      <c r="A10" s="8" t="inlineStr">
        <is>
          <t>2020-10-12 19:21:35.000</t>
        </is>
      </c>
      <c r="B10" s="8" t="n">
        <v>2020</v>
      </c>
      <c r="C10" s="9" t="n">
        <v>9.800000000000001</v>
      </c>
      <c r="D10" s="9" t="n">
        <v>126.24</v>
      </c>
      <c r="E10" s="8" t="n">
        <v>55</v>
      </c>
      <c r="F10" s="9" t="n">
        <v>5</v>
      </c>
      <c r="G10" s="9" t="n">
        <v>12</v>
      </c>
      <c r="H10" s="9" t="n">
        <v>5.3</v>
      </c>
      <c r="I10" s="9" t="n">
        <v>4.275</v>
      </c>
      <c r="J10" s="9" t="n">
        <v>0.715479269596432</v>
      </c>
      <c r="K10" s="9" t="n">
        <v>3.60905480369887</v>
      </c>
      <c r="L10" s="9" t="n">
        <v>0.1264484851858174</v>
      </c>
      <c r="M10" s="9" t="n">
        <v>0.1419512580995768</v>
      </c>
      <c r="N10" s="9" t="n">
        <v>1.413982034103612</v>
      </c>
      <c r="O10" s="9" t="n">
        <v>6.783822583249425</v>
      </c>
      <c r="P10" s="9" t="n">
        <v>0.4938639252385737</v>
      </c>
      <c r="Q10" s="9" t="n">
        <v>0.3005748719687746</v>
      </c>
      <c r="R10" s="9" t="n">
        <v>0.2557520992403219</v>
      </c>
      <c r="S10" s="9" t="n">
        <v>0.502327597075868</v>
      </c>
      <c r="T10" s="9" t="n">
        <v>63185065594.15248</v>
      </c>
      <c r="U10" s="9" t="n">
        <v>0.007137764109823</v>
      </c>
      <c r="V10" s="9" t="n">
        <v>5.728671216846342e-05</v>
      </c>
      <c r="W10" s="9" t="n">
        <v>-0.7470873676376283</v>
      </c>
      <c r="X10" s="9" t="n">
        <v>8.479285913660812</v>
      </c>
      <c r="Y10" s="9" t="n">
        <v>5.53169872578952</v>
      </c>
      <c r="Z10" s="9" t="n">
        <v>33.65559628724533</v>
      </c>
      <c r="AA10" s="9" t="n">
        <v>16.51244505945152</v>
      </c>
      <c r="AB10" s="9" t="n">
        <v>41.4813268746445</v>
      </c>
      <c r="AC10" s="9" t="n">
        <v>-1.513425447247046</v>
      </c>
      <c r="AD10" s="9" t="n">
        <v>584.1773379629667</v>
      </c>
      <c r="AE10" s="9" t="n">
        <v>1340.220751736117</v>
      </c>
      <c r="AF10" s="9" t="n">
        <v>25044.35032407408</v>
      </c>
      <c r="AG10" s="9" t="n">
        <v>25044.35032407408</v>
      </c>
      <c r="AH10" s="8" t="inlineStr">
        <is>
          <t>Moderate (5.0-5.9)</t>
        </is>
      </c>
    </row>
    <row r="11">
      <c r="A11" s="8" t="inlineStr">
        <is>
          <t>2020-12-24 23:43:41.000</t>
        </is>
      </c>
      <c r="B11" s="8" t="n">
        <v>2020</v>
      </c>
      <c r="C11" s="9" t="n">
        <v>13.76</v>
      </c>
      <c r="D11" s="9" t="n">
        <v>120.53</v>
      </c>
      <c r="E11" s="8" t="n">
        <v>107</v>
      </c>
      <c r="F11" s="9" t="n">
        <v>6.3</v>
      </c>
      <c r="G11" s="9" t="n">
        <v>3</v>
      </c>
      <c r="H11" s="9" t="n">
        <v>4.3</v>
      </c>
      <c r="I11" s="9" t="n">
        <v>4.166666666666667</v>
      </c>
      <c r="J11" s="9" t="n">
        <v>1.431363764158979</v>
      </c>
      <c r="K11" s="9" t="n">
        <v>6.209954932771665</v>
      </c>
      <c r="L11" s="9" t="n">
        <v>0.4155809566599035</v>
      </c>
      <c r="M11" s="9" t="n">
        <v>0.0713784667846519</v>
      </c>
      <c r="N11" s="9" t="n">
        <v>2.0044360703227</v>
      </c>
      <c r="O11" s="9" t="n">
        <v>8.494865536010462</v>
      </c>
      <c r="P11" s="9" t="n">
        <v>0.8149669936305562</v>
      </c>
      <c r="Q11" s="9" t="n">
        <v>0.148945487365811</v>
      </c>
      <c r="R11" s="9" t="n">
        <v>-0.0384882922619089</v>
      </c>
      <c r="S11" s="9" t="n">
        <v>0.0619673374552425</v>
      </c>
      <c r="T11" s="9" t="n">
        <v>10349435964.69797</v>
      </c>
      <c r="U11" s="9" t="n">
        <v>5.080526342529391e-05</v>
      </c>
      <c r="V11" s="9" t="n">
        <v>9.698214581498481e-07</v>
      </c>
      <c r="W11" s="9" t="n">
        <v>-0.6123724356957945</v>
      </c>
      <c r="X11" s="9" t="n">
        <v>1.40513695041083</v>
      </c>
      <c r="Y11" s="9" t="n">
        <v>14.6416338849178</v>
      </c>
      <c r="Z11" s="9" t="n">
        <v>21.4730722369995</v>
      </c>
      <c r="AA11" s="9" t="n">
        <v>10.16857678243065</v>
      </c>
      <c r="AB11" s="9" t="n">
        <v>24.29713692621955</v>
      </c>
      <c r="AC11" s="9" t="n">
        <v>0.6214195331099894</v>
      </c>
      <c r="AD11" s="9" t="n">
        <v>1231.760603472219</v>
      </c>
      <c r="AE11" s="9" t="n">
        <v>4471.85732314815</v>
      </c>
      <c r="AF11" s="9" t="n">
        <v>9537.186263888889</v>
      </c>
      <c r="AG11" s="9" t="n">
        <v>28750.33561342593</v>
      </c>
      <c r="AH11" s="8" t="inlineStr">
        <is>
          <t>Strong (6.0-6.9)</t>
        </is>
      </c>
    </row>
    <row r="12">
      <c r="A12" s="8" t="inlineStr">
        <is>
          <t>2020-12-25 02:00:31.000</t>
        </is>
      </c>
      <c r="B12" s="8" t="n">
        <v>2020</v>
      </c>
      <c r="C12" s="9" t="n">
        <v>4.91</v>
      </c>
      <c r="D12" s="9" t="n">
        <v>125.97</v>
      </c>
      <c r="E12" s="8" t="n">
        <v>88</v>
      </c>
      <c r="F12" s="9" t="n">
        <v>5.2</v>
      </c>
      <c r="G12" s="9" t="n">
        <v>5</v>
      </c>
      <c r="H12" s="9" t="n">
        <v>6.2</v>
      </c>
      <c r="I12" s="9" t="n">
        <v>4.619999999999999</v>
      </c>
      <c r="J12" s="9" t="n">
        <v>-0</v>
      </c>
      <c r="K12" s="9" t="n">
        <v>0</v>
      </c>
      <c r="L12" s="9" t="n">
        <v>0</v>
      </c>
      <c r="M12" s="9" t="n">
        <v>0</v>
      </c>
      <c r="N12" s="9" t="n">
        <v/>
      </c>
      <c r="O12" s="9" t="n">
        <v/>
      </c>
      <c r="P12" s="9" t="n">
        <v/>
      </c>
      <c r="Q12" s="9" t="n">
        <v/>
      </c>
      <c r="R12" s="9" t="n">
        <v/>
      </c>
      <c r="S12" s="9" t="n">
        <v/>
      </c>
      <c r="T12" s="9" t="n">
        <v>380413171938.1336</v>
      </c>
      <c r="U12" s="9" t="n">
        <v>1</v>
      </c>
      <c r="V12" s="9" t="n">
        <v/>
      </c>
      <c r="W12" s="9" t="n">
        <v>1.083472677771923</v>
      </c>
      <c r="X12" s="9" t="n">
        <v>2.42831124509987</v>
      </c>
      <c r="Y12" s="9" t="n">
        <v>40.8969662576232</v>
      </c>
      <c r="Z12" s="9" t="n">
        <v>49.63460480070758</v>
      </c>
      <c r="AA12" s="9" t="n">
        <v>6.962029471253037</v>
      </c>
      <c r="AB12" s="9" t="n">
        <v>48.47094061719769</v>
      </c>
      <c r="AC12" s="9" t="n">
        <v>1.961620951211734</v>
      </c>
      <c r="AD12" s="9" t="n">
        <v>9.110150462962338</v>
      </c>
      <c r="AE12" s="9" t="n">
        <v>29298.8037962963</v>
      </c>
      <c r="AF12" s="9" t="n">
        <v>29298.8037962963</v>
      </c>
      <c r="AG12" s="9" t="n">
        <v>39367.7191087963</v>
      </c>
      <c r="AH12" s="8" t="inlineStr">
        <is>
          <t>Moderate (5.0-5.9)</t>
        </is>
      </c>
    </row>
    <row r="13">
      <c r="A13" s="8" t="inlineStr">
        <is>
          <t>2020-12-29 16:21:45.000</t>
        </is>
      </c>
      <c r="B13" s="8" t="n">
        <v>2020</v>
      </c>
      <c r="C13" s="9" t="n">
        <v>5.01</v>
      </c>
      <c r="D13" s="9" t="n">
        <v>125.45</v>
      </c>
      <c r="E13" s="8" t="n">
        <v>68</v>
      </c>
      <c r="F13" s="9" t="n">
        <v>5.5</v>
      </c>
      <c r="G13" s="9" t="n">
        <v>6</v>
      </c>
      <c r="H13" s="9" t="n">
        <v>6.2</v>
      </c>
      <c r="I13" s="9" t="n">
        <v>4.716666666666666</v>
      </c>
      <c r="J13" s="9" t="n">
        <v>0.2485283761931731</v>
      </c>
      <c r="K13" s="9" t="n">
        <v>1.463417921817468</v>
      </c>
      <c r="L13" s="9" t="n">
        <v>0.0480242613593303</v>
      </c>
      <c r="M13" s="9" t="n">
        <v>0.07802465151330409</v>
      </c>
      <c r="N13" s="9" t="n">
        <v>0.3474355855226014</v>
      </c>
      <c r="O13" s="9" t="n">
        <v>1.864490130515688</v>
      </c>
      <c r="P13" s="9" t="n">
        <v>0.0938549809532373</v>
      </c>
      <c r="Q13" s="9" t="n">
        <v>0.1899352460770844</v>
      </c>
      <c r="R13" s="9" t="n">
        <v>0.3116666666666674</v>
      </c>
      <c r="S13" s="9" t="n">
        <v>0.833566024300068</v>
      </c>
      <c r="T13" s="9" t="n">
        <v>383412374652.6693</v>
      </c>
      <c r="U13" s="9" t="n">
        <v>0.179644891329184</v>
      </c>
      <c r="V13" s="9" t="n">
        <v>0.0907179532894125</v>
      </c>
      <c r="W13" s="9" t="n">
        <v>1.477097891751993</v>
      </c>
      <c r="X13" s="9" t="n">
        <v>5.10853676372977</v>
      </c>
      <c r="Y13" s="9" t="n">
        <v>40.8969662576232</v>
      </c>
      <c r="Z13" s="9" t="n">
        <v>55.41987039155927</v>
      </c>
      <c r="AA13" s="9" t="n">
        <v>15.47874902009306</v>
      </c>
      <c r="AB13" s="9" t="n">
        <v>49.56582930425058</v>
      </c>
      <c r="AC13" s="9" t="n">
        <v>3.671514055091345</v>
      </c>
      <c r="AD13" s="9" t="n">
        <v>13.70822916666657</v>
      </c>
      <c r="AE13" s="9" t="n">
        <v>1340.832265393517</v>
      </c>
      <c r="AF13" s="9" t="n">
        <v>1340.832265393517</v>
      </c>
      <c r="AG13" s="9" t="n">
        <v>43535.17270833333</v>
      </c>
      <c r="AH13" s="8" t="inlineStr">
        <is>
          <t>Moderate (5.0-5.9)</t>
        </is>
      </c>
    </row>
    <row r="14">
      <c r="A14" s="8" t="inlineStr">
        <is>
          <t>2021-02-02 14:37:34.000</t>
        </is>
      </c>
      <c r="B14" s="8" t="n">
        <v>2021</v>
      </c>
      <c r="C14" s="9" t="n">
        <v>3.62</v>
      </c>
      <c r="D14" s="9" t="n">
        <v>126.57</v>
      </c>
      <c r="E14" s="8" t="n">
        <v>25</v>
      </c>
      <c r="F14" s="9" t="n">
        <v>5.2</v>
      </c>
      <c r="G14" s="9" t="n">
        <v>3</v>
      </c>
      <c r="H14" s="9" t="n">
        <v>4.3</v>
      </c>
      <c r="I14" s="9" t="n">
        <v>4.2</v>
      </c>
      <c r="J14" s="9" t="n">
        <v>0.5282737771670423</v>
      </c>
      <c r="K14" s="9" t="n">
        <v>2.537388985671125</v>
      </c>
      <c r="L14" s="9" t="n">
        <v>0.0641868322377367</v>
      </c>
      <c r="M14" s="9" t="n">
        <v>0.0556849454662704</v>
      </c>
      <c r="N14" s="9" t="n">
        <v>1.737177927613007</v>
      </c>
      <c r="O14" s="9" t="n">
        <v>7.425832965171692</v>
      </c>
      <c r="P14" s="9" t="n">
        <v>0.6940910450027388</v>
      </c>
      <c r="Q14" s="9" t="n">
        <v>0.2224352922244458</v>
      </c>
      <c r="R14" s="9" t="n">
        <v>-0.5031704304504832</v>
      </c>
      <c r="S14" s="9" t="n">
        <v>0.0253469278329721</v>
      </c>
      <c r="T14" s="9" t="n">
        <v>11214147613.44512</v>
      </c>
      <c r="U14" s="9" t="n">
        <v>0.0260122948737491</v>
      </c>
      <c r="V14" s="9" t="n">
        <v>6.144212353328218e-06</v>
      </c>
      <c r="W14" s="9" t="n">
        <v>-0.6123724356957945</v>
      </c>
      <c r="X14" s="9" t="n">
        <v>1.160722007624089</v>
      </c>
      <c r="Y14" s="9" t="n">
        <v>183.637553036767</v>
      </c>
      <c r="Z14" s="9" t="n">
        <v>194.273645139517</v>
      </c>
      <c r="AA14" s="9" t="n">
        <v>11.96877397212927</v>
      </c>
      <c r="AB14" s="9" t="n">
        <v>190.7226527328885</v>
      </c>
      <c r="AC14" s="9" t="n">
        <v>0.0539665742981602</v>
      </c>
      <c r="AD14" s="9" t="n">
        <v>4373.876863425925</v>
      </c>
      <c r="AE14" s="9" t="n">
        <v>4373.876863425925</v>
      </c>
      <c r="AF14" s="9" t="n">
        <v>4373.876863425925</v>
      </c>
      <c r="AG14" s="9" t="n">
        <v>4373.876863425925</v>
      </c>
      <c r="AH14" s="8" t="inlineStr">
        <is>
          <t>Moderate (5.0-5.9)</t>
        </is>
      </c>
    </row>
    <row r="15">
      <c r="A15" s="8" t="inlineStr">
        <is>
          <t>2021-05-10 17:25:55.000</t>
        </is>
      </c>
      <c r="B15" s="8" t="n">
        <v>2021</v>
      </c>
      <c r="C15" s="9" t="n">
        <v>5.46</v>
      </c>
      <c r="D15" s="9" t="n">
        <v>126.58</v>
      </c>
      <c r="E15" s="8" t="n">
        <v>60</v>
      </c>
      <c r="F15" s="9" t="n">
        <v>5.3</v>
      </c>
      <c r="G15" s="9" t="n">
        <v>3</v>
      </c>
      <c r="H15" s="9" t="n">
        <v>4.6</v>
      </c>
      <c r="I15" s="9" t="n">
        <v>4.333333333333333</v>
      </c>
      <c r="J15" s="9" t="n">
        <v>1.025636073215498</v>
      </c>
      <c r="K15" s="9" t="n">
        <v>4.641380459495354</v>
      </c>
      <c r="L15" s="9" t="n">
        <v>0.3515361210478486</v>
      </c>
      <c r="M15" s="9" t="n">
        <v>0.0783451477904482</v>
      </c>
      <c r="N15" s="9" t="n">
        <v>1.532804053776184</v>
      </c>
      <c r="O15" s="9" t="n">
        <v>6.761617875202015</v>
      </c>
      <c r="P15" s="9" t="n">
        <v>0.785157280999174</v>
      </c>
      <c r="Q15" s="9" t="n">
        <v>0.1546585412481805</v>
      </c>
      <c r="R15" s="9" t="n">
        <v>0.0746322007336948</v>
      </c>
      <c r="S15" s="9" t="n">
        <v>0.1887265182107018</v>
      </c>
      <c r="T15" s="9" t="n">
        <v>16416104543.16988</v>
      </c>
      <c r="U15" s="9" t="n">
        <v>0.0008377062976308</v>
      </c>
      <c r="V15" s="9" t="n">
        <v>2.521087033094869e-05</v>
      </c>
      <c r="W15" s="9" t="n">
        <v>-0.6123724356957945</v>
      </c>
      <c r="X15" s="9" t="n">
        <v>1.254071981281376</v>
      </c>
      <c r="Y15" s="9" t="n">
        <v>32.6344918430183</v>
      </c>
      <c r="Z15" s="9" t="n">
        <v>88.75803505160478</v>
      </c>
      <c r="AA15" s="9" t="n">
        <v>49.84570248367084</v>
      </c>
      <c r="AB15" s="9" t="n">
        <v>60.61499027835128</v>
      </c>
      <c r="AC15" s="9" t="n">
        <v>-3.868252996727222</v>
      </c>
      <c r="AD15" s="9" t="n">
        <v>459.1568634259238</v>
      </c>
      <c r="AE15" s="9" t="n">
        <v>863.5742109953644</v>
      </c>
      <c r="AF15" s="9" t="n">
        <v>863.5742109953644</v>
      </c>
      <c r="AG15" s="9" t="n">
        <v>43535.17270833333</v>
      </c>
      <c r="AH15" s="8" t="inlineStr">
        <is>
          <t>Moderate (5.0-5.9)</t>
        </is>
      </c>
    </row>
    <row r="16">
      <c r="A16" s="8" t="inlineStr">
        <is>
          <t>2021-06-06 03:20:58.000</t>
        </is>
      </c>
      <c r="B16" s="8" t="n">
        <v>2021</v>
      </c>
      <c r="C16" s="9" t="n">
        <v>10.16</v>
      </c>
      <c r="D16" s="9" t="n">
        <v>126.3</v>
      </c>
      <c r="E16" s="8" t="n">
        <v>8</v>
      </c>
      <c r="F16" s="9" t="n">
        <v>5.1</v>
      </c>
      <c r="G16" s="9" t="n">
        <v>6</v>
      </c>
      <c r="H16" s="9" t="n">
        <v>4.9</v>
      </c>
      <c r="I16" s="9" t="n">
        <v>4.416666666666667</v>
      </c>
      <c r="J16" s="9" t="n">
        <v/>
      </c>
      <c r="K16" s="9" t="n">
        <v/>
      </c>
      <c r="L16" s="9" t="n">
        <v/>
      </c>
      <c r="M16" s="9" t="n">
        <v/>
      </c>
      <c r="N16" s="9" t="n">
        <v/>
      </c>
      <c r="O16" s="9" t="n">
        <v/>
      </c>
      <c r="P16" s="9" t="n">
        <v/>
      </c>
      <c r="Q16" s="9" t="n">
        <v/>
      </c>
      <c r="R16" s="9" t="n">
        <v/>
      </c>
      <c r="S16" s="9" t="n">
        <v/>
      </c>
      <c r="T16" s="9" t="n">
        <v>38479973229.1653</v>
      </c>
      <c r="U16" s="9" t="n">
        <v/>
      </c>
      <c r="V16" s="9" t="n">
        <v/>
      </c>
      <c r="W16" s="9" t="n">
        <v>-1.216327281119075</v>
      </c>
      <c r="X16" s="9" t="n">
        <v>4.099183152481507</v>
      </c>
      <c r="Y16" s="9" t="n">
        <v>34.8576202765758</v>
      </c>
      <c r="Z16" s="9" t="n">
        <v>42.46616276392005</v>
      </c>
      <c r="AA16" s="9" t="n">
        <v>7.251306570022479</v>
      </c>
      <c r="AB16" s="9" t="n">
        <v>43.71532307787875</v>
      </c>
      <c r="AC16" s="9" t="n">
        <v>3.018682463060572</v>
      </c>
      <c r="AD16" s="9" t="n">
        <v>820.5102430555562</v>
      </c>
      <c r="AE16" s="9" t="n">
        <v>3137.37737037037</v>
      </c>
      <c r="AF16" s="9" t="n">
        <v>25280.68322916667</v>
      </c>
      <c r="AG16" s="9" t="n">
        <v>25280.68322916667</v>
      </c>
      <c r="AH16" s="8" t="inlineStr">
        <is>
          <t>Moderate (5.0-5.9)</t>
        </is>
      </c>
    </row>
    <row r="17">
      <c r="A17" s="8" t="inlineStr">
        <is>
          <t>2021-06-07 21:41:08.000</t>
        </is>
      </c>
      <c r="B17" s="8" t="n">
        <v>2021</v>
      </c>
      <c r="C17" s="9" t="n">
        <v>10.22</v>
      </c>
      <c r="D17" s="9" t="n">
        <v>126.28</v>
      </c>
      <c r="E17" s="8" t="n">
        <v>5</v>
      </c>
      <c r="F17" s="9" t="n">
        <v>5.3</v>
      </c>
      <c r="G17" s="9" t="n">
        <v>8</v>
      </c>
      <c r="H17" s="9" t="n">
        <v>5.1</v>
      </c>
      <c r="I17" s="9" t="n">
        <v>4.5</v>
      </c>
      <c r="J17" s="9" t="n">
        <v>1.090562867930654</v>
      </c>
      <c r="K17" s="9" t="n">
        <v>5.607310745943445</v>
      </c>
      <c r="L17" s="9" t="n">
        <v>0.4004293097969478</v>
      </c>
      <c r="M17" s="9" t="n">
        <v>0.1381260048274191</v>
      </c>
      <c r="N17" s="9" t="n">
        <v>1.042306756567806</v>
      </c>
      <c r="O17" s="9" t="n">
        <v>5.271732334931571</v>
      </c>
      <c r="P17" s="9" t="n">
        <v>0.3657762907835934</v>
      </c>
      <c r="Q17" s="9" t="n">
        <v>0.1518418980251109</v>
      </c>
      <c r="R17" s="9" t="n">
        <v>-0.0416666666666669</v>
      </c>
      <c r="S17" s="9" t="n">
        <v>0.0422448797216201</v>
      </c>
      <c r="T17" s="9" t="n">
        <v>55474732674.1081</v>
      </c>
      <c r="U17" s="9" t="n">
        <v>0.0005349477881841</v>
      </c>
      <c r="V17" s="9" t="n">
        <v>0.0007465858083765999</v>
      </c>
      <c r="W17" s="9" t="n">
        <v>-1.621769708158766</v>
      </c>
      <c r="X17" s="9" t="n">
        <v>5.744180832813141</v>
      </c>
      <c r="Y17" s="9" t="n">
        <v>34.8576202765758</v>
      </c>
      <c r="Z17" s="9" t="n">
        <v>45.05815035377698</v>
      </c>
      <c r="AA17" s="9" t="n">
        <v>7.791859784792209</v>
      </c>
      <c r="AB17" s="9" t="n">
        <v>47.81316866711754</v>
      </c>
      <c r="AC17" s="9" t="n">
        <v>3.977019822963833</v>
      </c>
      <c r="AD17" s="9" t="n">
        <v>822.2742476851854</v>
      </c>
      <c r="AE17" s="9" t="n">
        <v>8645.38267939815</v>
      </c>
      <c r="AF17" s="9" t="n">
        <v>25282.44723379629</v>
      </c>
      <c r="AG17" s="9" t="n">
        <v>25282.44723379629</v>
      </c>
      <c r="AH17" s="8" t="inlineStr">
        <is>
          <t>Moderate (5.0-5.9)</t>
        </is>
      </c>
    </row>
    <row r="18">
      <c r="A18" s="8" t="inlineStr">
        <is>
          <t>2021-06-14 14:49:42.000</t>
        </is>
      </c>
      <c r="B18" s="8" t="n">
        <v>2021</v>
      </c>
      <c r="C18" s="9" t="n">
        <v>7.67</v>
      </c>
      <c r="D18" s="9" t="n">
        <v>124.86</v>
      </c>
      <c r="E18" s="8" t="n">
        <v>2</v>
      </c>
      <c r="F18" s="9" t="n">
        <v>5.2</v>
      </c>
      <c r="G18" s="9" t="n">
        <v>3</v>
      </c>
      <c r="H18" s="9" t="n">
        <v>5.7</v>
      </c>
      <c r="I18" s="9" t="n">
        <v>4.866666666666667</v>
      </c>
      <c r="J18" s="9" t="n">
        <v>0.3044583621422662</v>
      </c>
      <c r="K18" s="9" t="n">
        <v>1.630960844669191</v>
      </c>
      <c r="L18" s="9" t="n">
        <v>0.09401159459194421</v>
      </c>
      <c r="M18" s="9" t="n">
        <v>0.08943895125452531</v>
      </c>
      <c r="N18" s="9" t="n">
        <v>0.6059923003301187</v>
      </c>
      <c r="O18" s="9" t="n">
        <v>3.022288916106161</v>
      </c>
      <c r="P18" s="9" t="n">
        <v>0.3724430014158035</v>
      </c>
      <c r="Q18" s="9" t="n">
        <v>0.1988635171460455</v>
      </c>
      <c r="R18" s="9" t="n">
        <v>0.3430742345415334</v>
      </c>
      <c r="S18" s="9" t="n">
        <v>0.7126611931211881</v>
      </c>
      <c r="T18" s="9" t="n">
        <v>136094524290.6171</v>
      </c>
      <c r="U18" s="9" t="n">
        <v>0.1220744885942169</v>
      </c>
      <c r="V18" s="9" t="n">
        <v>0.0152062840590658</v>
      </c>
      <c r="W18" s="9" t="n">
        <v>-0.4472135954999578</v>
      </c>
      <c r="X18" s="9" t="n">
        <v>5.375620014486486</v>
      </c>
      <c r="Y18" s="9" t="n">
        <v>27.6697708024529</v>
      </c>
      <c r="Z18" s="9" t="n">
        <v>48.04949974526164</v>
      </c>
      <c r="AA18" s="9" t="n">
        <v>17.65109016549865</v>
      </c>
      <c r="AB18" s="9" t="n">
        <v>57.84310482148005</v>
      </c>
      <c r="AC18" s="9" t="n">
        <v>2.967388157172845</v>
      </c>
      <c r="AD18" s="9" t="n">
        <v>316.9033101851892</v>
      </c>
      <c r="AE18" s="9" t="n">
        <v>592.5683333333363</v>
      </c>
      <c r="AF18" s="9" t="n">
        <v>24181.85594444445</v>
      </c>
      <c r="AG18" s="9" t="n">
        <v>43535.17270833333</v>
      </c>
      <c r="AH18" s="8" t="inlineStr">
        <is>
          <t>Moderate (5.0-5.9)</t>
        </is>
      </c>
    </row>
    <row r="19">
      <c r="A19" s="8" t="inlineStr">
        <is>
          <t>2021-07-20 20:26:46.000</t>
        </is>
      </c>
      <c r="B19" s="8" t="n">
        <v>2021</v>
      </c>
      <c r="C19" s="9" t="n">
        <v>5.58</v>
      </c>
      <c r="D19" s="9" t="n">
        <v>126.74</v>
      </c>
      <c r="E19" s="8" t="n">
        <v>79</v>
      </c>
      <c r="F19" s="9" t="n">
        <v>5.3</v>
      </c>
      <c r="G19" s="9" t="n">
        <v>4</v>
      </c>
      <c r="H19" s="9" t="n">
        <v>5.4</v>
      </c>
      <c r="I19" s="9" t="n">
        <v>4.800000000000001</v>
      </c>
      <c r="J19" s="9" t="n">
        <v>0.368259959219165</v>
      </c>
      <c r="K19" s="9" t="n">
        <v>2.072612609335002</v>
      </c>
      <c r="L19" s="9" t="n">
        <v>0.0918254116826559</v>
      </c>
      <c r="M19" s="9" t="n">
        <v>0.085074545207033</v>
      </c>
      <c r="N19" s="9" t="n">
        <v>0.6681453567742331</v>
      </c>
      <c r="O19" s="9" t="n">
        <v>3.408270489779742</v>
      </c>
      <c r="P19" s="9" t="n">
        <v>0.3022705191777014</v>
      </c>
      <c r="Q19" s="9" t="n">
        <v>0.1804100012114612</v>
      </c>
      <c r="R19" s="9" t="n">
        <v>-0.2281237138287792</v>
      </c>
      <c r="S19" s="9" t="n">
        <v>0.2989086652720703</v>
      </c>
      <c r="T19" s="9" t="n">
        <v>87512435904.00598</v>
      </c>
      <c r="U19" s="9" t="n">
        <v>0.0785633732504317</v>
      </c>
      <c r="V19" s="9" t="n">
        <v>0.009898375607203899</v>
      </c>
      <c r="W19" s="9" t="n">
        <v>0</v>
      </c>
      <c r="X19" s="9" t="n">
        <v>1.765038810975808</v>
      </c>
      <c r="Y19" s="9" t="n">
        <v>18.1452759640578</v>
      </c>
      <c r="Z19" s="9" t="n">
        <v>69.16905624015483</v>
      </c>
      <c r="AA19" s="9" t="n">
        <v>54.39591051660828</v>
      </c>
      <c r="AB19" s="9" t="n">
        <v>59.49760859612056</v>
      </c>
      <c r="AC19" s="9" t="n">
        <v>-9.040284446735599</v>
      </c>
      <c r="AD19" s="9" t="n">
        <v>530.2824537037013</v>
      </c>
      <c r="AE19" s="9" t="n">
        <v>934.699801273142</v>
      </c>
      <c r="AF19" s="9" t="n">
        <v>934.699801273142</v>
      </c>
      <c r="AG19" s="9" t="n">
        <v>23310.50394675926</v>
      </c>
      <c r="AH19" s="8" t="inlineStr">
        <is>
          <t>Moderate (5.0-5.9)</t>
        </is>
      </c>
    </row>
    <row r="20">
      <c r="A20" s="8" t="inlineStr">
        <is>
          <t>2021-08-11 17:46:12.000</t>
        </is>
      </c>
      <c r="B20" s="8" t="n">
        <v>2021</v>
      </c>
      <c r="C20" s="9" t="n">
        <v>6.3</v>
      </c>
      <c r="D20" s="9" t="n">
        <v>126.87</v>
      </c>
      <c r="E20" s="8" t="n">
        <v>59</v>
      </c>
      <c r="F20" s="9" t="n">
        <v>7.1</v>
      </c>
      <c r="G20" s="9" t="n">
        <v>3</v>
      </c>
      <c r="H20" s="9" t="n">
        <v>4.3</v>
      </c>
      <c r="I20" s="9" t="n">
        <v>4.166666666666667</v>
      </c>
      <c r="J20" s="9" t="n">
        <v>2.385606273598305</v>
      </c>
      <c r="K20" s="9" t="n">
        <v>10.17858676735276</v>
      </c>
      <c r="L20" s="9" t="n">
        <v>0.8726379848701775</v>
      </c>
      <c r="M20" s="9" t="n">
        <v>0.137733042424244</v>
      </c>
      <c r="N20" s="9" t="n">
        <v>3.722524130599286</v>
      </c>
      <c r="O20" s="9" t="n">
        <v>15.73947019017673</v>
      </c>
      <c r="P20" s="9" t="n">
        <v>2.12476850511041</v>
      </c>
      <c r="Q20" s="9" t="n">
        <v>0.2714549116856039</v>
      </c>
      <c r="R20" s="9" t="n">
        <v>0.0333333333333341</v>
      </c>
      <c r="S20" s="9" t="n">
        <v>0.0718285663220532</v>
      </c>
      <c r="T20" s="9" t="n">
        <v>10145479080.16927</v>
      </c>
      <c r="U20" s="9" t="n">
        <v>6.969171937625992e-08</v>
      </c>
      <c r="V20" s="9" t="n">
        <v>6.798727087489015e-12</v>
      </c>
      <c r="W20" s="9" t="n">
        <v>-1.441153384245784</v>
      </c>
      <c r="X20" s="9" t="n">
        <v>1.631592556819646</v>
      </c>
      <c r="Y20" s="9" t="n">
        <v>6.096826608944309</v>
      </c>
      <c r="Z20" s="9" t="n">
        <v>23.44824640833254</v>
      </c>
      <c r="AA20" s="9" t="n">
        <v>17.99342552327563</v>
      </c>
      <c r="AB20" s="9" t="n">
        <v>19.12582327910917</v>
      </c>
      <c r="AC20" s="9" t="n">
        <v>-5.5327493345663</v>
      </c>
      <c r="AD20" s="9" t="n">
        <v>682.6551157407448</v>
      </c>
      <c r="AE20" s="9" t="n">
        <v>956.5882966435164</v>
      </c>
      <c r="AF20" s="9" t="n">
        <v>956.5882966435164</v>
      </c>
      <c r="AG20" s="9" t="n">
        <v>35548.05777777778</v>
      </c>
      <c r="AH20" s="8" t="inlineStr">
        <is>
          <t>Major (&gt;=7.0)</t>
        </is>
      </c>
    </row>
    <row r="21">
      <c r="A21" s="8" t="inlineStr">
        <is>
          <t>2021-08-12 15:42:24.000</t>
        </is>
      </c>
      <c r="B21" s="8" t="n">
        <v>2021</v>
      </c>
      <c r="C21" s="9" t="n">
        <v>6.07</v>
      </c>
      <c r="D21" s="9" t="n">
        <v>127.41</v>
      </c>
      <c r="E21" s="8" t="n">
        <v>12</v>
      </c>
      <c r="F21" s="9" t="n">
        <v>5.1</v>
      </c>
      <c r="G21" s="9" t="n">
        <v>15</v>
      </c>
      <c r="H21" s="9" t="n">
        <v>7.1</v>
      </c>
      <c r="I21" s="9" t="n">
        <v>4.586666666666667</v>
      </c>
      <c r="J21" s="9" t="n">
        <v>0.2858264273703637</v>
      </c>
      <c r="K21" s="9" t="n">
        <v>1.803743480117528</v>
      </c>
      <c r="L21" s="9" t="n">
        <v>0.0364848374351238</v>
      </c>
      <c r="M21" s="9" t="n">
        <v>0.2171580617508895</v>
      </c>
      <c r="N21" s="9" t="n">
        <v>0.7619201436899162</v>
      </c>
      <c r="O21" s="9" t="n">
        <v>4.27625661786664</v>
      </c>
      <c r="P21" s="9" t="n">
        <v>0.2592546560828146</v>
      </c>
      <c r="Q21" s="9" t="n">
        <v>0.4955271055256156</v>
      </c>
      <c r="R21" s="9" t="n">
        <v>0.7893747134854623</v>
      </c>
      <c r="S21" s="9" t="n">
        <v>1.487526496993395</v>
      </c>
      <c r="T21" s="9" t="n">
        <v>2455215449653.062</v>
      </c>
      <c r="U21" s="9" t="n">
        <v>0.1388419542489978</v>
      </c>
      <c r="V21" s="9" t="n">
        <v>0.0051789243705977</v>
      </c>
      <c r="W21" s="9" t="n">
        <v>-1.081593278823989</v>
      </c>
      <c r="X21" s="9" t="n">
        <v>12.67699502802529</v>
      </c>
      <c r="Y21" s="9" t="n">
        <v>4.09113409758831</v>
      </c>
      <c r="Z21" s="9" t="n">
        <v>27.99550553952023</v>
      </c>
      <c r="AA21" s="9" t="n">
        <v>15.74598446776922</v>
      </c>
      <c r="AB21" s="9" t="n">
        <v>45.62250479752917</v>
      </c>
      <c r="AC21" s="9" t="n">
        <v>-2.701067106165636</v>
      </c>
      <c r="AD21" s="9" t="n">
        <v>0.914027777776937</v>
      </c>
      <c r="AE21" s="9" t="n">
        <v>0.914027777776937</v>
      </c>
      <c r="AF21" s="9" t="n">
        <v>0.914027777776937</v>
      </c>
      <c r="AG21" s="9" t="n">
        <v>23333.30646990741</v>
      </c>
      <c r="AH21" s="8" t="inlineStr">
        <is>
          <t>Moderate (5.0-5.9)</t>
        </is>
      </c>
    </row>
    <row r="22">
      <c r="A22" s="8" t="inlineStr">
        <is>
          <t>2021-08-12 15:53:27.000</t>
        </is>
      </c>
      <c r="B22" s="8" t="n">
        <v>2021</v>
      </c>
      <c r="C22" s="9" t="n">
        <v>6.1</v>
      </c>
      <c r="D22" s="9" t="n">
        <v>127.65</v>
      </c>
      <c r="E22" s="8" t="n">
        <v>24</v>
      </c>
      <c r="F22" s="9" t="n">
        <v>5.6</v>
      </c>
      <c r="G22" s="9" t="n">
        <v>16</v>
      </c>
      <c r="H22" s="9" t="n">
        <v>7.1</v>
      </c>
      <c r="I22" s="9" t="n">
        <v>4.61875</v>
      </c>
      <c r="J22" s="9" t="n">
        <v>0.3334768000293467</v>
      </c>
      <c r="K22" s="9" t="n">
        <v>2.115333086937049</v>
      </c>
      <c r="L22" s="9" t="n">
        <v>0.0471753290594975</v>
      </c>
      <c r="M22" s="9" t="n">
        <v>0.2107498981301806</v>
      </c>
      <c r="N22" s="9" t="n">
        <v>0.7293495115932481</v>
      </c>
      <c r="O22" s="9" t="n">
        <v>4.177595585009192</v>
      </c>
      <c r="P22" s="9" t="n">
        <v>0.225660257923164</v>
      </c>
      <c r="Q22" s="9" t="n">
        <v>0.422055380677153</v>
      </c>
      <c r="R22" s="9" t="n">
        <v>0.7567308827753685</v>
      </c>
      <c r="S22" s="9" t="n">
        <v>1.372162360288244</v>
      </c>
      <c r="T22" s="9" t="n">
        <v>2455523664203.526</v>
      </c>
      <c r="U22" s="9" t="n">
        <v>0.0999009458084104</v>
      </c>
      <c r="V22" s="9" t="n">
        <v>0.0064856194915886</v>
      </c>
      <c r="W22" s="9" t="n">
        <v>-1.0762764703941</v>
      </c>
      <c r="X22" s="9" t="n">
        <v>15.66335402589941</v>
      </c>
      <c r="Y22" s="9" t="n">
        <v>4.09113409758831</v>
      </c>
      <c r="Z22" s="9" t="n">
        <v>26.78498735443373</v>
      </c>
      <c r="AA22" s="9" t="n">
        <v>15.9641043226593</v>
      </c>
      <c r="AB22" s="9" t="n">
        <v>45.58562532064936</v>
      </c>
      <c r="AC22" s="9" t="n">
        <v>-3.225651015780702</v>
      </c>
      <c r="AD22" s="9" t="n">
        <v>0.921701388884685</v>
      </c>
      <c r="AE22" s="9" t="n">
        <v>0.921701388884685</v>
      </c>
      <c r="AF22" s="9" t="n">
        <v>0.921701388884685</v>
      </c>
      <c r="AG22" s="9" t="n">
        <v>23333.31414351852</v>
      </c>
      <c r="AH22" s="8" t="inlineStr">
        <is>
          <t>Moderate (5.0-5.9)</t>
        </is>
      </c>
    </row>
    <row r="23">
      <c r="A23" s="8" t="inlineStr">
        <is>
          <t>2021-08-12 20:17:02.000</t>
        </is>
      </c>
      <c r="B23" s="8" t="n">
        <v>2021</v>
      </c>
      <c r="C23" s="9" t="n">
        <v>5.93</v>
      </c>
      <c r="D23" s="9" t="n">
        <v>127.5</v>
      </c>
      <c r="E23" s="8" t="n">
        <v>35</v>
      </c>
      <c r="F23" s="9" t="n">
        <v>5.3</v>
      </c>
      <c r="G23" s="9" t="n">
        <v>19</v>
      </c>
      <c r="H23" s="9" t="n">
        <v>7.1</v>
      </c>
      <c r="I23" s="9" t="n">
        <v>4.684210526315789</v>
      </c>
      <c r="J23" s="9" t="n">
        <v>0.1987956155251424</v>
      </c>
      <c r="K23" s="9" t="n">
        <v>1.307047122943348</v>
      </c>
      <c r="L23" s="9" t="n">
        <v>0.0148474231228779</v>
      </c>
      <c r="M23" s="9" t="n">
        <v>0.09729441622584339</v>
      </c>
      <c r="N23" s="9" t="n">
        <v>0.4916541304565122</v>
      </c>
      <c r="O23" s="9" t="n">
        <v>2.984557320047875</v>
      </c>
      <c r="P23" s="9" t="n">
        <v>0.0908148491714498</v>
      </c>
      <c r="Q23" s="9" t="n">
        <v>0.2341317169115567</v>
      </c>
      <c r="R23" s="9" t="n">
        <v>0.5251712770896546</v>
      </c>
      <c r="S23" s="9" t="n">
        <v>1.029559145009836</v>
      </c>
      <c r="T23" s="9" t="n">
        <v>2458143679553.634</v>
      </c>
      <c r="U23" s="9" t="n">
        <v>0.2532871477301134</v>
      </c>
      <c r="V23" s="9" t="n">
        <v>0.0334994447440035</v>
      </c>
      <c r="W23" s="9" t="n">
        <v>-1.384490577538191</v>
      </c>
      <c r="X23" s="9" t="n">
        <v>14.17150228502271</v>
      </c>
      <c r="Y23" s="9" t="n">
        <v>4.09113409758831</v>
      </c>
      <c r="Z23" s="9" t="n">
        <v>27.56664400642829</v>
      </c>
      <c r="AA23" s="9" t="n">
        <v>14.7382102362329</v>
      </c>
      <c r="AB23" s="9" t="n">
        <v>45.51368859265603</v>
      </c>
      <c r="AC23" s="9" t="n">
        <v>-2.557870320342261</v>
      </c>
      <c r="AD23" s="9" t="n">
        <v>1.104745370364981</v>
      </c>
      <c r="AE23" s="9" t="n">
        <v>1.104745370364981</v>
      </c>
      <c r="AF23" s="9" t="n">
        <v>1.104745370364981</v>
      </c>
      <c r="AG23" s="9" t="n">
        <v>23333.4971875</v>
      </c>
      <c r="AH23" s="8" t="inlineStr">
        <is>
          <t>Moderate (5.0-5.9)</t>
        </is>
      </c>
    </row>
    <row r="24">
      <c r="A24" s="8" t="inlineStr">
        <is>
          <t>2021-08-12 20:28:29.000</t>
        </is>
      </c>
      <c r="B24" s="8" t="n">
        <v>2021</v>
      </c>
      <c r="C24" s="9" t="n">
        <v>6.05</v>
      </c>
      <c r="D24" s="9" t="n">
        <v>127.58</v>
      </c>
      <c r="E24" s="8" t="n">
        <v>1</v>
      </c>
      <c r="F24" s="9" t="n">
        <v>5.1</v>
      </c>
      <c r="G24" s="9" t="n">
        <v>20</v>
      </c>
      <c r="H24" s="9" t="n">
        <v>7.1</v>
      </c>
      <c r="I24" s="9" t="n">
        <v>4.715</v>
      </c>
      <c r="J24" s="9" t="n">
        <v>0.2538987164346175</v>
      </c>
      <c r="K24" s="9" t="n">
        <v>1.665896098239702</v>
      </c>
      <c r="L24" s="9" t="n">
        <v>0.0234254079376181</v>
      </c>
      <c r="M24" s="9" t="n">
        <v>0.1235347276142869</v>
      </c>
      <c r="N24" s="9" t="n">
        <v>0.5990268715906932</v>
      </c>
      <c r="O24" s="9" t="n">
        <v>3.657097036440498</v>
      </c>
      <c r="P24" s="9" t="n">
        <v>0.1303943462691926</v>
      </c>
      <c r="Q24" s="9" t="n">
        <v>0.2259170695295079</v>
      </c>
      <c r="R24" s="9" t="n">
        <v>0.5387376130406967</v>
      </c>
      <c r="S24" s="9" t="n">
        <v>0.9949365881880796</v>
      </c>
      <c r="T24" s="9" t="n">
        <v>2458848860307.203</v>
      </c>
      <c r="U24" s="9" t="n">
        <v>0.1731027035007122</v>
      </c>
      <c r="V24" s="9" t="n">
        <v>0.0159558294385509</v>
      </c>
      <c r="W24" s="9" t="n">
        <v>-1.442124371765319</v>
      </c>
      <c r="X24" s="9" t="n">
        <v>17.59160140466379</v>
      </c>
      <c r="Y24" s="9" t="n">
        <v>4.09113409758831</v>
      </c>
      <c r="Z24" s="9" t="n">
        <v>26.99097586818446</v>
      </c>
      <c r="AA24" s="9" t="n">
        <v>14.57430468407555</v>
      </c>
      <c r="AB24" s="9" t="n">
        <v>45.45557208924469</v>
      </c>
      <c r="AC24" s="9" t="n">
        <v>-2.798657767445427</v>
      </c>
      <c r="AD24" s="9" t="n">
        <v>1.112696759257233</v>
      </c>
      <c r="AE24" s="9" t="n">
        <v>1.112696759257233</v>
      </c>
      <c r="AF24" s="9" t="n">
        <v>1.112696759257233</v>
      </c>
      <c r="AG24" s="9" t="n">
        <v>23333.50513888889</v>
      </c>
      <c r="AH24" s="8" t="inlineStr">
        <is>
          <t>Moderate (5.0-5.9)</t>
        </is>
      </c>
    </row>
    <row r="25">
      <c r="A25" s="8" t="inlineStr">
        <is>
          <t>2021-08-13 19:00:30.000</t>
        </is>
      </c>
      <c r="B25" s="8" t="n">
        <v>2021</v>
      </c>
      <c r="C25" s="9" t="n">
        <v>6.21</v>
      </c>
      <c r="D25" s="9" t="n">
        <v>127.44</v>
      </c>
      <c r="E25" s="8" t="n">
        <v>15</v>
      </c>
      <c r="F25" s="9" t="n">
        <v>5.2</v>
      </c>
      <c r="G25" s="9" t="n">
        <v>30</v>
      </c>
      <c r="H25" s="9" t="n">
        <v>7.1</v>
      </c>
      <c r="I25" s="9" t="n">
        <v>4.633333333333334</v>
      </c>
      <c r="J25" s="9" t="n">
        <v>0.2664844324096898</v>
      </c>
      <c r="K25" s="9" t="n">
        <v>1.747283728211836</v>
      </c>
      <c r="L25" s="9" t="n">
        <v>0.0185374555874304</v>
      </c>
      <c r="M25" s="9" t="n">
        <v>0.1337390805540546</v>
      </c>
      <c r="N25" s="9" t="n">
        <v>0.7360923422089037</v>
      </c>
      <c r="O25" s="9" t="n">
        <v>4.453040949601428</v>
      </c>
      <c r="P25" s="9" t="n">
        <v>0.141439605457717</v>
      </c>
      <c r="Q25" s="9" t="n">
        <v>0.2920603807439956</v>
      </c>
      <c r="R25" s="9" t="n">
        <v>0.5432052468806736</v>
      </c>
      <c r="S25" s="9" t="n">
        <v>1.050431631663883</v>
      </c>
      <c r="T25" s="9" t="n">
        <v>2459511777736.774</v>
      </c>
      <c r="U25" s="9" t="n">
        <v>0.1586889559284132</v>
      </c>
      <c r="V25" s="9" t="n">
        <v>0.0061904607362075</v>
      </c>
      <c r="W25" s="9" t="n">
        <v>-1.688463529635476</v>
      </c>
      <c r="X25" s="9" t="n">
        <v>22.22411843946663</v>
      </c>
      <c r="Y25" s="9" t="n">
        <v>1.54940631461388</v>
      </c>
      <c r="Z25" s="9" t="n">
        <v>23.50593083046941</v>
      </c>
      <c r="AA25" s="9" t="n">
        <v>13.7107099914638</v>
      </c>
      <c r="AB25" s="9" t="n">
        <v>45.39432766946015</v>
      </c>
      <c r="AC25" s="9" t="n">
        <v>-3.939799085738623</v>
      </c>
      <c r="AD25" s="9" t="n">
        <v>2.051597222220153</v>
      </c>
      <c r="AE25" s="9" t="n">
        <v>2.051597222220153</v>
      </c>
      <c r="AF25" s="9" t="n">
        <v>2.051597222220153</v>
      </c>
      <c r="AG25" s="9" t="n">
        <v>23334.44403935185</v>
      </c>
      <c r="AH25" s="8" t="inlineStr">
        <is>
          <t>Moderate (5.0-5.9)</t>
        </is>
      </c>
    </row>
    <row r="26">
      <c r="A26" s="8" t="inlineStr">
        <is>
          <t>2021-08-27 10:22:23.000</t>
        </is>
      </c>
      <c r="B26" s="8" t="n">
        <v>2021</v>
      </c>
      <c r="C26" s="9" t="n">
        <v>5.5</v>
      </c>
      <c r="D26" s="9" t="n">
        <v>125.24</v>
      </c>
      <c r="E26" s="8" t="n">
        <v>34</v>
      </c>
      <c r="F26" s="9" t="n">
        <v>5.7</v>
      </c>
      <c r="G26" s="9" t="n">
        <v>3</v>
      </c>
      <c r="H26" s="9" t="n">
        <v>4.5</v>
      </c>
      <c r="I26" s="9" t="n">
        <v>4.266666666666667</v>
      </c>
      <c r="J26" s="9" t="n">
        <v>0.9396275030257824</v>
      </c>
      <c r="K26" s="9" t="n">
        <v>4.223452094811509</v>
      </c>
      <c r="L26" s="9" t="n">
        <v>0.2950494586047577</v>
      </c>
      <c r="M26" s="9" t="n">
        <v>0.0741582297141534</v>
      </c>
      <c r="N26" s="9" t="n">
        <v>1.371456258641849</v>
      </c>
      <c r="O26" s="9" t="n">
        <v>5.962946289287058</v>
      </c>
      <c r="P26" s="9" t="n">
        <v>0.6285608149827187</v>
      </c>
      <c r="Q26" s="9" t="n">
        <v>0.1517702864674605</v>
      </c>
      <c r="R26" s="9" t="n">
        <v>0.005184680938802</v>
      </c>
      <c r="S26" s="9" t="n">
        <v>0.1521061085884323</v>
      </c>
      <c r="T26" s="9" t="n">
        <v>14024819445.88915</v>
      </c>
      <c r="U26" s="9" t="n">
        <v>0.0015174608349343</v>
      </c>
      <c r="V26" s="9" t="n">
        <v>7.684776196487846e-05</v>
      </c>
      <c r="W26" s="9" t="n">
        <v>-1.441153384245784</v>
      </c>
      <c r="X26" s="9" t="n">
        <v>2.1255371128042</v>
      </c>
      <c r="Y26" s="9" t="n">
        <v>40.86811864380019</v>
      </c>
      <c r="Z26" s="9" t="n">
        <v>45.96684081314157</v>
      </c>
      <c r="AA26" s="9" t="n">
        <v>6.233402896705404</v>
      </c>
      <c r="AB26" s="9" t="n">
        <v>49.01327687421979</v>
      </c>
      <c r="AC26" s="9" t="n">
        <v>-6.096418840475953</v>
      </c>
      <c r="AD26" s="9" t="n">
        <v>254.4586689814824</v>
      </c>
      <c r="AE26" s="9" t="n">
        <v>1581.582705208333</v>
      </c>
      <c r="AF26" s="9" t="n">
        <v>1581.582705208333</v>
      </c>
      <c r="AG26" s="9" t="n">
        <v>18630.89514351852</v>
      </c>
      <c r="AH26" s="8" t="inlineStr">
        <is>
          <t>Moderate (5.0-5.9)</t>
        </is>
      </c>
    </row>
    <row r="27">
      <c r="A27" s="8" t="inlineStr">
        <is>
          <t>2021-09-26 17:12:04.000</t>
        </is>
      </c>
      <c r="B27" s="8" t="n">
        <v>2021</v>
      </c>
      <c r="C27" s="9" t="n">
        <v>13.82</v>
      </c>
      <c r="D27" s="9" t="n">
        <v>120.35</v>
      </c>
      <c r="E27" s="8" t="n">
        <v>66</v>
      </c>
      <c r="F27" s="9" t="n">
        <v>5.7</v>
      </c>
      <c r="G27" s="9" t="n">
        <v>3</v>
      </c>
      <c r="H27" s="9" t="n">
        <v>4.9</v>
      </c>
      <c r="I27" s="9" t="n">
        <v>4.566666666666667</v>
      </c>
      <c r="J27" s="9" t="n">
        <v>0.468595834311766</v>
      </c>
      <c r="K27" s="9" t="n">
        <v>2.362381390925563</v>
      </c>
      <c r="L27" s="9" t="n">
        <v>0.12139620214927</v>
      </c>
      <c r="M27" s="9" t="n">
        <v>0.08684467055974961</v>
      </c>
      <c r="N27" s="9" t="n">
        <v>0.8405699649740345</v>
      </c>
      <c r="O27" s="9" t="n">
        <v>3.923458111113204</v>
      </c>
      <c r="P27" s="9" t="n">
        <v>0.3906213609673913</v>
      </c>
      <c r="Q27" s="9" t="n">
        <v>0.1715772939577949</v>
      </c>
      <c r="R27" s="9" t="n">
        <v>-0.1414050188799249</v>
      </c>
      <c r="S27" s="9" t="n">
        <v>0.2323836508548096</v>
      </c>
      <c r="T27" s="9" t="n">
        <v>31194309216.75377</v>
      </c>
      <c r="U27" s="9" t="n">
        <v>0.0392837100659191</v>
      </c>
      <c r="V27" s="9" t="n">
        <v>0.003008085007255</v>
      </c>
      <c r="W27" s="9" t="n">
        <v>-1.441153384245784</v>
      </c>
      <c r="X27" s="9" t="n">
        <v>1.571915382874654</v>
      </c>
      <c r="Y27" s="9" t="n">
        <v>32.1603935586522</v>
      </c>
      <c r="Z27" s="9" t="n">
        <v>33.3645399810142</v>
      </c>
      <c r="AA27" s="9" t="n">
        <v>1.114625701942767</v>
      </c>
      <c r="AB27" s="9" t="n">
        <v>33.76825199054304</v>
      </c>
      <c r="AC27" s="9" t="n">
        <v>-0.6346353120597481</v>
      </c>
      <c r="AD27" s="9" t="n">
        <v>64.84936342592118</v>
      </c>
      <c r="AE27" s="9" t="n">
        <v>64.84936342592118</v>
      </c>
      <c r="AF27" s="9" t="n">
        <v>9812.914307870367</v>
      </c>
      <c r="AG27" s="9" t="n">
        <v>29026.06365740741</v>
      </c>
      <c r="AH27" s="8" t="inlineStr">
        <is>
          <t>Moderate (5.0-5.9)</t>
        </is>
      </c>
    </row>
    <row r="28">
      <c r="A28" s="8" t="inlineStr">
        <is>
          <t>2021-10-02 21:59:26.000</t>
        </is>
      </c>
      <c r="B28" s="8" t="n">
        <v>2021</v>
      </c>
      <c r="C28" s="9" t="n">
        <v>12.84</v>
      </c>
      <c r="D28" s="9" t="n">
        <v>120.86</v>
      </c>
      <c r="E28" s="8" t="n">
        <v>3</v>
      </c>
      <c r="F28" s="9" t="n">
        <v>5.3</v>
      </c>
      <c r="G28" s="9" t="n">
        <v>5</v>
      </c>
      <c r="H28" s="9" t="n">
        <v>4.9</v>
      </c>
      <c r="I28" s="9" t="n">
        <v>4.48</v>
      </c>
      <c r="J28" s="9" t="n">
        <v>0.9858651726511466</v>
      </c>
      <c r="K28" s="9" t="n">
        <v>4.818161398915213</v>
      </c>
      <c r="L28" s="9" t="n">
        <v>0.3192845980436266</v>
      </c>
      <c r="M28" s="9" t="n">
        <v>0.06891409162637641</v>
      </c>
      <c r="N28" s="9" t="n">
        <v>1.336290713548463</v>
      </c>
      <c r="O28" s="9" t="n">
        <v>6.348110059586352</v>
      </c>
      <c r="P28" s="9" t="n">
        <v>0.5866037302697689</v>
      </c>
      <c r="Q28" s="9" t="n">
        <v>0.1664110894072953</v>
      </c>
      <c r="R28" s="9" t="n">
        <v>0.0127582832057875</v>
      </c>
      <c r="S28" s="9" t="n">
        <v>0.1494543326360347</v>
      </c>
      <c r="T28" s="9" t="n">
        <v>33334897510.06413</v>
      </c>
      <c r="U28" s="9" t="n">
        <v>0.0011025657108453</v>
      </c>
      <c r="V28" s="9" t="n">
        <v>9.797783966129236e-05</v>
      </c>
      <c r="W28" s="9" t="n">
        <v>0.3061862178478972</v>
      </c>
      <c r="X28" s="9" t="n">
        <v>5.948525409849168</v>
      </c>
      <c r="Y28" s="9" t="n">
        <v>20.4524126988848</v>
      </c>
      <c r="Z28" s="9" t="n">
        <v>28.41473679792956</v>
      </c>
      <c r="AA28" s="9" t="n">
        <v>6.834050530640648</v>
      </c>
      <c r="AB28" s="9" t="n">
        <v>31.67568165619996</v>
      </c>
      <c r="AC28" s="9" t="n">
        <v>-1.267589998482806</v>
      </c>
      <c r="AD28" s="9" t="n">
        <v>1638.618118865743</v>
      </c>
      <c r="AE28" s="9" t="n">
        <v>4753.784927314817</v>
      </c>
      <c r="AF28" s="9" t="n">
        <v>9819.113868055556</v>
      </c>
      <c r="AG28" s="9" t="n">
        <v>29032.2632175926</v>
      </c>
      <c r="AH28" s="8" t="inlineStr">
        <is>
          <t>Moderate (5.0-5.9)</t>
        </is>
      </c>
    </row>
    <row r="29">
      <c r="A29" s="8" t="inlineStr">
        <is>
          <t>2021-11-19 20:13:46.000</t>
        </is>
      </c>
      <c r="B29" s="8" t="n">
        <v>2021</v>
      </c>
      <c r="C29" s="9" t="n">
        <v>6.79</v>
      </c>
      <c r="D29" s="9" t="n">
        <v>127.19</v>
      </c>
      <c r="E29" s="8" t="n">
        <v>4</v>
      </c>
      <c r="F29" s="9" t="n">
        <v>5.4</v>
      </c>
      <c r="G29" s="9" t="n">
        <v>3</v>
      </c>
      <c r="H29" s="9" t="n">
        <v>5.2</v>
      </c>
      <c r="I29" s="9" t="n">
        <v>4.4</v>
      </c>
      <c r="J29" s="9" t="n">
        <v>0.1572927213361524</v>
      </c>
      <c r="K29" s="9" t="n">
        <v>0.7602481531247367</v>
      </c>
      <c r="L29" s="9" t="n">
        <v>0.0227617201705059</v>
      </c>
      <c r="M29" s="9" t="n">
        <v>0.1172976773131738</v>
      </c>
      <c r="N29" s="9" t="n">
        <v>0.9650988486738944</v>
      </c>
      <c r="O29" s="9" t="n">
        <v>4.337516649415241</v>
      </c>
      <c r="P29" s="9" t="n">
        <v>0.8569025246947427</v>
      </c>
      <c r="Q29" s="9" t="n">
        <v>0.3654471932107693</v>
      </c>
      <c r="R29" s="9" t="n">
        <v>0.366666666666668</v>
      </c>
      <c r="S29" s="9" t="n">
        <v>0.7056244700993517</v>
      </c>
      <c r="T29" s="9" t="n">
        <v>48193002776.51299</v>
      </c>
      <c r="U29" s="9" t="n">
        <v>0.3373819437512045</v>
      </c>
      <c r="V29" s="9" t="n">
        <v>0.0012726338013397</v>
      </c>
      <c r="W29" s="9" t="n">
        <v>-2.121320343559642</v>
      </c>
      <c r="X29" s="9" t="n">
        <v>1.116003966215044</v>
      </c>
      <c r="Y29" s="9" t="n">
        <v>23.5500495627869</v>
      </c>
      <c r="Z29" s="9" t="n">
        <v>28.77016754849393</v>
      </c>
      <c r="AA29" s="9" t="n">
        <v>7.842665172213722</v>
      </c>
      <c r="AB29" s="9" t="n">
        <v>23.79062375846828</v>
      </c>
      <c r="AC29" s="9" t="n">
        <v>-4.819046670927758</v>
      </c>
      <c r="AD29" s="9" t="n">
        <v>100.1024768518473</v>
      </c>
      <c r="AE29" s="9" t="n">
        <v>100.1024768518473</v>
      </c>
      <c r="AF29" s="9" t="n">
        <v>100.1024768518473</v>
      </c>
      <c r="AG29" s="9" t="n">
        <v>28667.8792824074</v>
      </c>
      <c r="AH29" s="8" t="inlineStr">
        <is>
          <t>Moderate (5.0-5.9)</t>
        </is>
      </c>
    </row>
    <row r="30">
      <c r="A30" s="8" t="inlineStr">
        <is>
          <t>2021-11-30 00:56:06.000</t>
        </is>
      </c>
      <c r="B30" s="8" t="n">
        <v>2021</v>
      </c>
      <c r="C30" s="9" t="n">
        <v>6.68</v>
      </c>
      <c r="D30" s="9" t="n">
        <v>126.12</v>
      </c>
      <c r="E30" s="8" t="n">
        <v>41</v>
      </c>
      <c r="F30" s="9" t="n">
        <v>5.2</v>
      </c>
      <c r="G30" s="9" t="n">
        <v>3</v>
      </c>
      <c r="H30" s="9" t="n">
        <v>4.8</v>
      </c>
      <c r="I30" s="9" t="n">
        <v>4.466666666666666</v>
      </c>
      <c r="J30" s="9" t="n">
        <v>0.4685958343117656</v>
      </c>
      <c r="K30" s="9" t="n">
        <v>2.315521807494385</v>
      </c>
      <c r="L30" s="9" t="n">
        <v>0.1213962021492697</v>
      </c>
      <c r="M30" s="9" t="n">
        <v>0.08684467055974961</v>
      </c>
      <c r="N30" s="9" t="n">
        <v>0.8405699649740374</v>
      </c>
      <c r="O30" s="9" t="n">
        <v>3.839401114615812</v>
      </c>
      <c r="P30" s="9" t="n">
        <v>0.3906213609673936</v>
      </c>
      <c r="Q30" s="9" t="n">
        <v>0.1795422413934789</v>
      </c>
      <c r="R30" s="9" t="n">
        <v>-0.1414050188799267</v>
      </c>
      <c r="S30" s="9" t="n">
        <v>0.2323836508548105</v>
      </c>
      <c r="T30" s="9" t="n">
        <v>25355686462.03649</v>
      </c>
      <c r="U30" s="9" t="n">
        <v>0.0392837100659192</v>
      </c>
      <c r="V30" s="9" t="n">
        <v>0.0030080850072549</v>
      </c>
      <c r="W30" s="9" t="n">
        <v>1.441153384245784</v>
      </c>
      <c r="X30" s="9" t="n">
        <v>1.968428740911147</v>
      </c>
      <c r="Y30" s="9" t="n">
        <v>24.8825388368122</v>
      </c>
      <c r="Z30" s="9" t="n">
        <v>37.87606828681497</v>
      </c>
      <c r="AA30" s="9" t="n">
        <v>13.03736849017746</v>
      </c>
      <c r="AB30" s="9" t="n">
        <v>33.75717209555238</v>
      </c>
      <c r="AC30" s="9" t="n">
        <v>-1.072003270104196</v>
      </c>
      <c r="AD30" s="9" t="n">
        <v>110.2985416666634</v>
      </c>
      <c r="AE30" s="9" t="n">
        <v>110.2985416666634</v>
      </c>
      <c r="AF30" s="9" t="n">
        <v>110.2985416666634</v>
      </c>
      <c r="AG30" s="9" t="n">
        <v>18725.5018912037</v>
      </c>
      <c r="AH30" s="8" t="inlineStr">
        <is>
          <t>Moderate (5.0-5.9)</t>
        </is>
      </c>
    </row>
    <row r="31">
      <c r="A31" s="8" t="inlineStr">
        <is>
          <t>2021-12-15 13:11:41.000</t>
        </is>
      </c>
      <c r="B31" s="8" t="n">
        <v>2021</v>
      </c>
      <c r="C31" s="9" t="n">
        <v>10.25</v>
      </c>
      <c r="D31" s="9" t="n">
        <v>126.53</v>
      </c>
      <c r="E31" s="8" t="n">
        <v>17</v>
      </c>
      <c r="F31" s="9" t="n">
        <v>5.1</v>
      </c>
      <c r="G31" s="9" t="n">
        <v>4</v>
      </c>
      <c r="H31" s="9" t="n">
        <v>4.9</v>
      </c>
      <c r="I31" s="9" t="n">
        <v>4.449999999999999</v>
      </c>
      <c r="J31" s="9" t="n">
        <v>0.8491460390956903</v>
      </c>
      <c r="K31" s="9" t="n">
        <v>4.060975230607856</v>
      </c>
      <c r="L31" s="9" t="n">
        <v>0.2832278864246708</v>
      </c>
      <c r="M31" s="9" t="n">
        <v>0.0780705142623524</v>
      </c>
      <c r="N31" s="9" t="n">
        <v>1.085736204758131</v>
      </c>
      <c r="O31" s="9" t="n">
        <v>5.053578430836299</v>
      </c>
      <c r="P31" s="9" t="n">
        <v>0.4630414560700873</v>
      </c>
      <c r="Q31" s="9" t="n">
        <v>0.1251032196183811</v>
      </c>
      <c r="R31" s="9" t="n">
        <v>0.1175773734602279</v>
      </c>
      <c r="S31" s="9" t="n">
        <v>0.2454822555520452</v>
      </c>
      <c r="T31" s="9" t="n">
        <v>29419864135.69865</v>
      </c>
      <c r="U31" s="9" t="n">
        <v>0.0028350575726657</v>
      </c>
      <c r="V31" s="9" t="n">
        <v>0.0005530843701478</v>
      </c>
      <c r="W31" s="9" t="n">
        <v>-1.333333333333333</v>
      </c>
      <c r="X31" s="9" t="n">
        <v>1.668813726281144</v>
      </c>
      <c r="Y31" s="9" t="n">
        <v>11.5051662928423</v>
      </c>
      <c r="Z31" s="9" t="n">
        <v>36.5153303396744</v>
      </c>
      <c r="AA31" s="9" t="n">
        <v>17.60406795795007</v>
      </c>
      <c r="AB31" s="9" t="n">
        <v>39.39717084335684</v>
      </c>
      <c r="AC31" s="9" t="n">
        <v>-5.550433079248748</v>
      </c>
      <c r="AD31" s="9" t="n">
        <v>1012.92046296296</v>
      </c>
      <c r="AE31" s="9" t="n">
        <v>3392.997758101847</v>
      </c>
      <c r="AF31" s="9" t="n">
        <v>3393.016777777775</v>
      </c>
      <c r="AG31" s="9" t="n">
        <v>3393.016777777775</v>
      </c>
      <c r="AH31" s="8" t="inlineStr">
        <is>
          <t>Moderate (5.0-5.9)</t>
        </is>
      </c>
    </row>
    <row r="32">
      <c r="A32" s="8" t="inlineStr">
        <is>
          <t>2022-02-20 21:13:24.000</t>
        </is>
      </c>
      <c r="B32" s="8" t="n">
        <v>2022</v>
      </c>
      <c r="C32" s="9" t="n">
        <v>5.85</v>
      </c>
      <c r="D32" s="9" t="n">
        <v>126.56</v>
      </c>
      <c r="E32" s="8" t="n">
        <v>51</v>
      </c>
      <c r="F32" s="9" t="n">
        <v>5.2</v>
      </c>
      <c r="G32" s="9" t="n">
        <v>5</v>
      </c>
      <c r="H32" s="9" t="n">
        <v>5.7</v>
      </c>
      <c r="I32" s="9" t="n">
        <v>4.64</v>
      </c>
      <c r="J32" s="9" t="n">
        <v>0.3112127488845655</v>
      </c>
      <c r="K32" s="9" t="n">
        <v>1.661286703660149</v>
      </c>
      <c r="L32" s="9" t="n">
        <v>0.0616533926842477</v>
      </c>
      <c r="M32" s="9" t="n">
        <v>0.1280073213438132</v>
      </c>
      <c r="N32" s="9" t="n">
        <v>0.7445048261198607</v>
      </c>
      <c r="O32" s="9" t="n">
        <v>3.75294248964705</v>
      </c>
      <c r="P32" s="9" t="n">
        <v>0.3528395467343855</v>
      </c>
      <c r="Q32" s="9" t="n">
        <v>0.2282224101478619</v>
      </c>
      <c r="R32" s="9" t="n">
        <v>0.3618938021836948</v>
      </c>
      <c r="S32" s="9" t="n">
        <v>0.6591428316102688</v>
      </c>
      <c r="T32" s="9" t="n">
        <v>136330711177.0107</v>
      </c>
      <c r="U32" s="9" t="n">
        <v>0.116509611294905</v>
      </c>
      <c r="V32" s="9" t="n">
        <v>0.0058409773431952</v>
      </c>
      <c r="W32" s="9" t="n">
        <v>-0.7276068751089989</v>
      </c>
      <c r="X32" s="9" t="n">
        <v>0.9283494590694588</v>
      </c>
      <c r="Y32" s="9" t="n">
        <v>11.4546379029301</v>
      </c>
      <c r="Z32" s="9" t="n">
        <v>61.163640056136</v>
      </c>
      <c r="AA32" s="9" t="n">
        <v>28.59333712044329</v>
      </c>
      <c r="AB32" s="9" t="n">
        <v>79.24531041023185</v>
      </c>
      <c r="AC32" s="9" t="n">
        <v>7.869646771468749</v>
      </c>
      <c r="AD32" s="9" t="n">
        <v>193.1438888888879</v>
      </c>
      <c r="AE32" s="9" t="n">
        <v>193.1438888888879</v>
      </c>
      <c r="AF32" s="9" t="n">
        <v>193.1438888888879</v>
      </c>
      <c r="AG32" s="9" t="n">
        <v>18808.34723842593</v>
      </c>
      <c r="AH32" s="8" t="inlineStr">
        <is>
          <t>Moderate (5.0-5.9)</t>
        </is>
      </c>
    </row>
    <row r="33">
      <c r="A33" s="8" t="inlineStr">
        <is>
          <t>2022-02-26 06:15:50.000</t>
        </is>
      </c>
      <c r="B33" s="8" t="n">
        <v>2022</v>
      </c>
      <c r="C33" s="9" t="n">
        <v>5.58</v>
      </c>
      <c r="D33" s="9" t="n">
        <v>126.39</v>
      </c>
      <c r="E33" s="8" t="n">
        <v>117</v>
      </c>
      <c r="F33" s="9" t="n">
        <v>5.3</v>
      </c>
      <c r="G33" s="9" t="n">
        <v>8</v>
      </c>
      <c r="H33" s="9" t="n">
        <v>5.7</v>
      </c>
      <c r="I33" s="9" t="n">
        <v>4.6875</v>
      </c>
      <c r="J33" s="9" t="n">
        <v>0.6168829667251161</v>
      </c>
      <c r="K33" s="9" t="n">
        <v>3.405362730468063</v>
      </c>
      <c r="L33" s="9" t="n">
        <v>0.1607409825444518</v>
      </c>
      <c r="M33" s="9" t="n">
        <v>0.08472267446314399</v>
      </c>
      <c r="N33" s="9" t="n">
        <v>0.8685889638065036</v>
      </c>
      <c r="O33" s="9" t="n">
        <v>4.59994269113226</v>
      </c>
      <c r="P33" s="9" t="n">
        <v>0.3186762332131531</v>
      </c>
      <c r="Q33" s="9" t="n">
        <v>0.1481843109647258</v>
      </c>
      <c r="R33" s="9" t="n">
        <v>0.1797264405818852</v>
      </c>
      <c r="S33" s="9" t="n">
        <v>0.4041202653859717</v>
      </c>
      <c r="T33" s="9" t="n">
        <v>145768686590.1599</v>
      </c>
      <c r="U33" s="9" t="n">
        <v>0.0141042858060271</v>
      </c>
      <c r="V33" s="9" t="n">
        <v>0.0024787521766663</v>
      </c>
      <c r="W33" s="9" t="n">
        <v>-1.161895003862225</v>
      </c>
      <c r="X33" s="9" t="n">
        <v>2.714496346674547</v>
      </c>
      <c r="Y33" s="9" t="n">
        <v>11.4546379029301</v>
      </c>
      <c r="Z33" s="9" t="n">
        <v>63.62518466178921</v>
      </c>
      <c r="AA33" s="9" t="n">
        <v>21.95851030773525</v>
      </c>
      <c r="AB33" s="9" t="n">
        <v>77.63040871835202</v>
      </c>
      <c r="AC33" s="9" t="n">
        <v>4.394041549647058</v>
      </c>
      <c r="AD33" s="9" t="n">
        <v>198.5205787037048</v>
      </c>
      <c r="AE33" s="9" t="n">
        <v>198.5205787037048</v>
      </c>
      <c r="AF33" s="9" t="n">
        <v>198.5205787037048</v>
      </c>
      <c r="AG33" s="9" t="n">
        <v>18813.72392824074</v>
      </c>
      <c r="AH33" s="8" t="inlineStr">
        <is>
          <t>Moderate (5.0-5.9)</t>
        </is>
      </c>
    </row>
    <row r="34">
      <c r="A34" s="8" t="inlineStr">
        <is>
          <t>2022-04-03 10:24:52.000</t>
        </is>
      </c>
      <c r="B34" s="8" t="n">
        <v>2022</v>
      </c>
      <c r="C34" s="9" t="n">
        <v>9.16</v>
      </c>
      <c r="D34" s="9" t="n">
        <v>126.88</v>
      </c>
      <c r="E34" s="8" t="n">
        <v>4</v>
      </c>
      <c r="F34" s="9" t="n">
        <v>5.6</v>
      </c>
      <c r="G34" s="9" t="n">
        <v>5</v>
      </c>
      <c r="H34" s="9" t="n">
        <v>5</v>
      </c>
      <c r="I34" s="9" t="n">
        <v>4.499999999999999</v>
      </c>
      <c r="J34" s="9" t="n">
        <v>0.6816017924566604</v>
      </c>
      <c r="K34" s="9" t="n">
        <v>3.439243646435377</v>
      </c>
      <c r="L34" s="9" t="n">
        <v>0.1850759175195522</v>
      </c>
      <c r="M34" s="9" t="n">
        <v>0.0758998533748332</v>
      </c>
      <c r="N34" s="9" t="n">
        <v>0.8985403073860382</v>
      </c>
      <c r="O34" s="9" t="n">
        <v>4.340844576479626</v>
      </c>
      <c r="P34" s="9" t="n">
        <v>0.3216352138885221</v>
      </c>
      <c r="Q34" s="9" t="n">
        <v>0.1253979967643481</v>
      </c>
      <c r="R34" s="9" t="n">
        <v>-0.04582541375001</v>
      </c>
      <c r="S34" s="9" t="n">
        <v>0.1690040604770804</v>
      </c>
      <c r="T34" s="9" t="n">
        <v>39749067209.40296</v>
      </c>
      <c r="U34" s="9" t="n">
        <v>0.0090197525388054</v>
      </c>
      <c r="V34" s="9" t="n">
        <v>0.002015482714507</v>
      </c>
      <c r="W34" s="9" t="n">
        <v>-2.5</v>
      </c>
      <c r="X34" s="9" t="n">
        <v>4.335822560774823</v>
      </c>
      <c r="Y34" s="9" t="n">
        <v>16.3994608436552</v>
      </c>
      <c r="Z34" s="9" t="n">
        <v>28.09122826518594</v>
      </c>
      <c r="AA34" s="9" t="n">
        <v>16.30375202835205</v>
      </c>
      <c r="AB34" s="9" t="n">
        <v>28.5247993310177</v>
      </c>
      <c r="AC34" s="9" t="n">
        <v>-1.889421002342001</v>
      </c>
      <c r="AD34" s="9" t="n">
        <v>503.4910763888838</v>
      </c>
      <c r="AE34" s="9" t="n">
        <v>3438.671745370368</v>
      </c>
      <c r="AF34" s="9" t="n">
        <v>25581.97760416666</v>
      </c>
      <c r="AG34" s="9" t="n">
        <v>25581.97760416666</v>
      </c>
      <c r="AH34" s="8" t="inlineStr">
        <is>
          <t>Moderate (5.0-5.9)</t>
        </is>
      </c>
    </row>
    <row r="35">
      <c r="A35" s="8" t="inlineStr">
        <is>
          <t>2022-04-03 11:21:59.000</t>
        </is>
      </c>
      <c r="B35" s="8" t="n">
        <v>2022</v>
      </c>
      <c r="C35" s="9" t="n">
        <v>9.17</v>
      </c>
      <c r="D35" s="9" t="n">
        <v>127.03</v>
      </c>
      <c r="E35" s="8" t="n">
        <v>1</v>
      </c>
      <c r="F35" s="9" t="n">
        <v>5.4</v>
      </c>
      <c r="G35" s="9" t="n">
        <v>6</v>
      </c>
      <c r="H35" s="9" t="n">
        <v>5.6</v>
      </c>
      <c r="I35" s="9" t="n">
        <v>4.683333333333333</v>
      </c>
      <c r="J35" s="9" t="n">
        <v>0.5692384594536917</v>
      </c>
      <c r="K35" s="9" t="n">
        <v>3.083063588071668</v>
      </c>
      <c r="L35" s="9" t="n">
        <v>0.1725614213969831</v>
      </c>
      <c r="M35" s="9" t="n">
        <v>0.0850210766144469</v>
      </c>
      <c r="N35" s="9" t="n">
        <v>0.6204206884332167</v>
      </c>
      <c r="O35" s="9" t="n">
        <v>3.269868951590794</v>
      </c>
      <c r="P35" s="9" t="n">
        <v>0.2049876906096775</v>
      </c>
      <c r="Q35" s="9" t="n">
        <v>0.1018426685353682</v>
      </c>
      <c r="R35" s="9" t="n">
        <v>0.1838803811138492</v>
      </c>
      <c r="S35" s="9" t="n">
        <v>0.3295939472160762</v>
      </c>
      <c r="T35" s="9" t="n">
        <v>116630324916.7716</v>
      </c>
      <c r="U35" s="9" t="n">
        <v>0.0196012885356668</v>
      </c>
      <c r="V35" s="9" t="n">
        <v>0.0137637867330504</v>
      </c>
      <c r="W35" s="9" t="n">
        <v>-2.520504151250418</v>
      </c>
      <c r="X35" s="9" t="n">
        <v>5.398666909117879</v>
      </c>
      <c r="Y35" s="9" t="n">
        <v>12.8932582565161</v>
      </c>
      <c r="Z35" s="9" t="n">
        <v>25.55823326374097</v>
      </c>
      <c r="AA35" s="9" t="n">
        <v>15.84759433559763</v>
      </c>
      <c r="AB35" s="9" t="n">
        <v>15.69527618678508</v>
      </c>
      <c r="AC35" s="9" t="n">
        <v>-2.941494231118773</v>
      </c>
      <c r="AD35" s="9" t="n">
        <v>503.5307407407381</v>
      </c>
      <c r="AE35" s="9" t="n">
        <v>3438.711409722222</v>
      </c>
      <c r="AF35" s="9" t="n">
        <v>25582.01726851852</v>
      </c>
      <c r="AG35" s="9" t="n">
        <v>25582.01726851852</v>
      </c>
      <c r="AH35" s="8" t="inlineStr">
        <is>
          <t>Moderate (5.0-5.9)</t>
        </is>
      </c>
    </row>
    <row r="36">
      <c r="A36" s="8" t="inlineStr">
        <is>
          <t>2022-04-03 15:29:36.000</t>
        </is>
      </c>
      <c r="B36" s="8" t="n">
        <v>2022</v>
      </c>
      <c r="C36" s="9" t="n">
        <v>9.119999999999999</v>
      </c>
      <c r="D36" s="9" t="n">
        <v>126.88</v>
      </c>
      <c r="E36" s="8" t="n">
        <v>5</v>
      </c>
      <c r="F36" s="9" t="n">
        <v>5.5</v>
      </c>
      <c r="G36" s="9" t="n">
        <v>7</v>
      </c>
      <c r="H36" s="9" t="n">
        <v>5.6</v>
      </c>
      <c r="I36" s="9" t="n">
        <v>4.785714285714285</v>
      </c>
      <c r="J36" s="9" t="n">
        <v>0.5274725274725269</v>
      </c>
      <c r="K36" s="9" t="n">
        <v>3.037027758566088</v>
      </c>
      <c r="L36" s="9" t="n">
        <v>0.1413280727292364</v>
      </c>
      <c r="M36" s="9" t="n">
        <v>0.0737435514974519</v>
      </c>
      <c r="N36" s="9" t="n">
        <v>0.5497398505104447</v>
      </c>
      <c r="O36" s="9" t="n">
        <v>3.062851361530931</v>
      </c>
      <c r="P36" s="9" t="n">
        <v>0.1535123028046255</v>
      </c>
      <c r="Q36" s="9" t="n">
        <v>0.1042226802598026</v>
      </c>
      <c r="R36" s="9" t="n">
        <v>-0.1576984589482153</v>
      </c>
      <c r="S36" s="9" t="n">
        <v>0.0285440491770598</v>
      </c>
      <c r="T36" s="9" t="n">
        <v>137297877961.3486</v>
      </c>
      <c r="U36" s="9" t="n">
        <v>0.0261566678527267</v>
      </c>
      <c r="V36" s="9" t="n">
        <v>0.0224274784718634</v>
      </c>
      <c r="W36" s="9" t="n">
        <v>-2.29128784747792</v>
      </c>
      <c r="X36" s="9" t="n">
        <v>6.129684583423837</v>
      </c>
      <c r="Y36" s="9" t="n">
        <v>5.18736623223747</v>
      </c>
      <c r="Z36" s="9" t="n">
        <v>22.64810940209761</v>
      </c>
      <c r="AA36" s="9" t="n">
        <v>16.38811413043401</v>
      </c>
      <c r="AB36" s="9" t="n">
        <v>12.63267007729413</v>
      </c>
      <c r="AC36" s="9" t="n">
        <v>-3.985298797525832</v>
      </c>
      <c r="AD36" s="9" t="n">
        <v>503.7026967592537</v>
      </c>
      <c r="AE36" s="9" t="n">
        <v>3438.883365740738</v>
      </c>
      <c r="AF36" s="9" t="n">
        <v>25582.18922453704</v>
      </c>
      <c r="AG36" s="9" t="n">
        <v>25582.18922453704</v>
      </c>
      <c r="AH36" s="8" t="inlineStr">
        <is>
          <t>Moderate (5.0-5.9)</t>
        </is>
      </c>
    </row>
    <row r="37">
      <c r="A37" s="8" t="inlineStr">
        <is>
          <t>2022-04-11 13:47:30.000</t>
        </is>
      </c>
      <c r="B37" s="8" t="n">
        <v>2022</v>
      </c>
      <c r="C37" s="9" t="n">
        <v>21.52</v>
      </c>
      <c r="D37" s="9" t="n">
        <v>120.81</v>
      </c>
      <c r="E37" s="8" t="n">
        <v>25</v>
      </c>
      <c r="F37" s="9" t="n">
        <v>5.2</v>
      </c>
      <c r="G37" s="9" t="n">
        <v>3</v>
      </c>
      <c r="H37" s="9" t="n">
        <v>5.6</v>
      </c>
      <c r="I37" s="9" t="n">
        <v>5.266666666666667</v>
      </c>
      <c r="J37" s="9" t="n">
        <v>0.8337334825539049</v>
      </c>
      <c r="K37" s="9" t="n">
        <v>4.572956206971072</v>
      </c>
      <c r="L37" s="9" t="n">
        <v>0.2819941396631974</v>
      </c>
      <c r="M37" s="9" t="n">
        <v>0.0893267033479696</v>
      </c>
      <c r="N37" s="9" t="n">
        <v>1.371456258641849</v>
      </c>
      <c r="O37" s="9" t="n">
        <v>7.334402547928907</v>
      </c>
      <c r="P37" s="9" t="n">
        <v>0.7630438887732093</v>
      </c>
      <c r="Q37" s="9" t="n">
        <v>0.1749489297310582</v>
      </c>
      <c r="R37" s="9" t="n">
        <v>0.1150862923687263</v>
      </c>
      <c r="S37" s="9" t="n">
        <v>0.2521061085884319</v>
      </c>
      <c r="T37" s="9" t="n">
        <v>123747775733.3113</v>
      </c>
      <c r="U37" s="9" t="n">
        <v>0.0031535487739365</v>
      </c>
      <c r="V37" s="9" t="n">
        <v>7.684776196487846e-05</v>
      </c>
      <c r="W37" s="9" t="n">
        <v>-2.121320343559642</v>
      </c>
      <c r="X37" s="9" t="n">
        <v>8.672617004934883</v>
      </c>
      <c r="Y37" s="9" t="n">
        <v>154.369699829969</v>
      </c>
      <c r="Z37" s="9" t="n">
        <v>162.3285803448937</v>
      </c>
      <c r="AA37" s="9" t="n">
        <v>9.969874987045031</v>
      </c>
      <c r="AB37" s="9" t="n">
        <v>159.5579367780219</v>
      </c>
      <c r="AC37" s="9" t="n">
        <v>8.591935912477251</v>
      </c>
      <c r="AD37" s="9" t="n">
        <v>5585.050787152773</v>
      </c>
      <c r="AE37" s="9" t="n">
        <v>5585.050787152773</v>
      </c>
      <c r="AF37" s="9" t="n">
        <v>5585.050787152773</v>
      </c>
      <c r="AG37" s="9" t="n">
        <v>43535.17270833333</v>
      </c>
      <c r="AH37" s="8" t="inlineStr">
        <is>
          <t>Moderate (5.0-5.9)</t>
        </is>
      </c>
    </row>
    <row r="38">
      <c r="A38" s="8" t="inlineStr">
        <is>
          <t>2022-04-19 01:23:07.000</t>
        </is>
      </c>
      <c r="B38" s="8" t="n">
        <v>2022</v>
      </c>
      <c r="C38" s="9" t="n">
        <v>7.11</v>
      </c>
      <c r="D38" s="9" t="n">
        <v>127.04</v>
      </c>
      <c r="E38" s="8" t="n">
        <v>15</v>
      </c>
      <c r="F38" s="9" t="n">
        <v>6.2</v>
      </c>
      <c r="G38" s="9" t="n">
        <v>4</v>
      </c>
      <c r="H38" s="9" t="n">
        <v>4.6</v>
      </c>
      <c r="I38" s="9" t="n">
        <v>4.35</v>
      </c>
      <c r="J38" s="9" t="n">
        <v>1.011021066801959</v>
      </c>
      <c r="K38" s="9" t="n">
        <v>4.728320179428449</v>
      </c>
      <c r="L38" s="9" t="n">
        <v>0.2798221466674003</v>
      </c>
      <c r="M38" s="9" t="n">
        <v>0.07509939628237471</v>
      </c>
      <c r="N38" s="9" t="n">
        <v>1.44764827301084</v>
      </c>
      <c r="O38" s="9" t="n">
        <v>6.537417910672406</v>
      </c>
      <c r="P38" s="9" t="n">
        <v>0.5737038797198588</v>
      </c>
      <c r="Q38" s="9" t="n">
        <v>0.1479686996582636</v>
      </c>
      <c r="R38" s="9" t="n">
        <v>-0.07677710651962499</v>
      </c>
      <c r="S38" s="9" t="n">
        <v>0.08411169166403359</v>
      </c>
      <c r="T38" s="9" t="n">
        <v>19409656041.33539</v>
      </c>
      <c r="U38" s="9" t="n">
        <v>0.0009266949569199</v>
      </c>
      <c r="V38" s="9" t="n">
        <v>4.539992976248456e-05</v>
      </c>
      <c r="W38" s="9" t="n">
        <v>-0.6324555320336758</v>
      </c>
      <c r="X38" s="9" t="n">
        <v>2.708664000977973</v>
      </c>
      <c r="Y38" s="9" t="n">
        <v>2.54715980971485</v>
      </c>
      <c r="Z38" s="9" t="n">
        <v>22.65695830035066</v>
      </c>
      <c r="AA38" s="9" t="n">
        <v>16.81227422886791</v>
      </c>
      <c r="AB38" s="9" t="n">
        <v>21.67891073051433</v>
      </c>
      <c r="AC38" s="9" t="n">
        <v>3.040099009416034</v>
      </c>
      <c r="AD38" s="9" t="n">
        <v>250.3173032407358</v>
      </c>
      <c r="AE38" s="9" t="n">
        <v>250.3173032407358</v>
      </c>
      <c r="AF38" s="9" t="n">
        <v>250.3173032407358</v>
      </c>
      <c r="AG38" s="9" t="n">
        <v>28818.09410879629</v>
      </c>
      <c r="AH38" s="8" t="inlineStr">
        <is>
          <t>Strong (6.0-6.9)</t>
        </is>
      </c>
    </row>
    <row r="39">
      <c r="A39" s="8" t="inlineStr">
        <is>
          <t>2022-04-19 04:24:35.000</t>
        </is>
      </c>
      <c r="B39" s="8" t="n">
        <v>2022</v>
      </c>
      <c r="C39" s="9" t="n">
        <v>7.1</v>
      </c>
      <c r="D39" s="9" t="n">
        <v>127.01</v>
      </c>
      <c r="E39" s="8" t="n">
        <v>17</v>
      </c>
      <c r="F39" s="9" t="n">
        <v>5.3</v>
      </c>
      <c r="G39" s="9" t="n">
        <v>7</v>
      </c>
      <c r="H39" s="9" t="n">
        <v>6.2</v>
      </c>
      <c r="I39" s="9" t="n">
        <v>4.628571428571428</v>
      </c>
      <c r="J39" s="9" t="n">
        <v>0.0590254893458788</v>
      </c>
      <c r="K39" s="9" t="n">
        <v>0.3364452892715095</v>
      </c>
      <c r="L39" s="9" t="n">
        <v>0.0021609126593353</v>
      </c>
      <c r="M39" s="9" t="n">
        <v>0.066649161288523</v>
      </c>
      <c r="N39" s="9" t="n">
        <v>0.5109346845920612</v>
      </c>
      <c r="O39" s="9" t="n">
        <v>2.651329544787463</v>
      </c>
      <c r="P39" s="9" t="n">
        <v>0.161915636872906</v>
      </c>
      <c r="Q39" s="9" t="n">
        <v>0.2653281898133309</v>
      </c>
      <c r="R39" s="9" t="n">
        <v>0.5000000000000027</v>
      </c>
      <c r="S39" s="9" t="n">
        <v>1.010824896524047</v>
      </c>
      <c r="T39" s="9" t="n">
        <v>380902959527.0386</v>
      </c>
      <c r="U39" s="9" t="n">
        <v>0.66515602909906</v>
      </c>
      <c r="V39" s="9" t="n">
        <v>0.0293221591238937</v>
      </c>
      <c r="W39" s="9" t="n">
        <v>-0.8219949365267863</v>
      </c>
      <c r="X39" s="9" t="n">
        <v>5.197502205934677</v>
      </c>
      <c r="Y39" s="9" t="n">
        <v>2.54715980971485</v>
      </c>
      <c r="Z39" s="9" t="n">
        <v>26.04989902396742</v>
      </c>
      <c r="AA39" s="9" t="n">
        <v>14.7146711870194</v>
      </c>
      <c r="AB39" s="9" t="n">
        <v>28.06112645475273</v>
      </c>
      <c r="AC39" s="9" t="n">
        <v>3.058361675645055</v>
      </c>
      <c r="AD39" s="9" t="n">
        <v>0.1260185185237787</v>
      </c>
      <c r="AE39" s="9" t="n">
        <v>250.4433217592596</v>
      </c>
      <c r="AF39" s="9" t="n">
        <v>250.4433217592596</v>
      </c>
      <c r="AG39" s="9" t="n">
        <v>28818.22012731482</v>
      </c>
      <c r="AH39" s="8" t="inlineStr">
        <is>
          <t>Moderate (5.0-5.9)</t>
        </is>
      </c>
    </row>
    <row r="40">
      <c r="A40" s="8" t="inlineStr">
        <is>
          <t>2022-04-20 09:07:35.000</t>
        </is>
      </c>
      <c r="B40" s="8" t="n">
        <v>2022</v>
      </c>
      <c r="C40" s="9" t="n">
        <v>6.23</v>
      </c>
      <c r="D40" s="9" t="n">
        <v>127.45</v>
      </c>
      <c r="E40" s="8" t="n">
        <v>110</v>
      </c>
      <c r="F40" s="9" t="n">
        <v>5.5</v>
      </c>
      <c r="G40" s="9" t="n">
        <v>7</v>
      </c>
      <c r="H40" s="9" t="n">
        <v>5</v>
      </c>
      <c r="I40" s="9" t="n">
        <v>4.542857142857143</v>
      </c>
      <c r="J40" s="9" t="n">
        <v>1.026807594068457</v>
      </c>
      <c r="K40" s="9" t="n">
        <v>5.209030154603973</v>
      </c>
      <c r="L40" s="9" t="n">
        <v>0.2891481750661411</v>
      </c>
      <c r="M40" s="9" t="n">
        <v>0.06869727879539</v>
      </c>
      <c r="N40" s="9" t="n">
        <v>1.316043884555312</v>
      </c>
      <c r="O40" s="9" t="n">
        <v>6.489563096379391</v>
      </c>
      <c r="P40" s="9" t="n">
        <v>0.4749884557540168</v>
      </c>
      <c r="Q40" s="9" t="n">
        <v>0.1256579708149305</v>
      </c>
      <c r="R40" s="9" t="n">
        <v>-0.0730343101228436</v>
      </c>
      <c r="S40" s="9" t="n">
        <v>0.0688854888967478</v>
      </c>
      <c r="T40" s="9" t="n">
        <v>46183590690.28342</v>
      </c>
      <c r="U40" s="9" t="n">
        <v>0.0008309544497204</v>
      </c>
      <c r="V40" s="9" t="n">
        <v>0.0001126855805077</v>
      </c>
      <c r="W40" s="9" t="n">
        <v>-1.183215956619923</v>
      </c>
      <c r="X40" s="9" t="n">
        <v>2.439794630856404</v>
      </c>
      <c r="Y40" s="9" t="n">
        <v>7.93210297869004</v>
      </c>
      <c r="Z40" s="9" t="n">
        <v>17.49177102338215</v>
      </c>
      <c r="AA40" s="9" t="n">
        <v>7.154336312365329</v>
      </c>
      <c r="AB40" s="9" t="n">
        <v>19.8771876818553</v>
      </c>
      <c r="AC40" s="9" t="n">
        <v>-8.290795166142168</v>
      </c>
      <c r="AD40" s="9" t="n">
        <v>251.6398495370377</v>
      </c>
      <c r="AE40" s="9" t="n">
        <v>251.6398495370377</v>
      </c>
      <c r="AF40" s="9" t="n">
        <v>251.6398495370377</v>
      </c>
      <c r="AG40" s="9" t="n">
        <v>23584.03229166667</v>
      </c>
      <c r="AH40" s="8" t="inlineStr">
        <is>
          <t>Moderate (5.0-5.9)</t>
        </is>
      </c>
    </row>
    <row r="41">
      <c r="A41" s="8" t="inlineStr">
        <is>
          <t>2022-04-20 14:34:17.000</t>
        </is>
      </c>
      <c r="B41" s="8" t="n">
        <v>2022</v>
      </c>
      <c r="C41" s="9" t="n">
        <v>6.78</v>
      </c>
      <c r="D41" s="9" t="n">
        <v>127.29</v>
      </c>
      <c r="E41" s="8" t="n">
        <v>16</v>
      </c>
      <c r="F41" s="9" t="n">
        <v>5.2</v>
      </c>
      <c r="G41" s="9" t="n">
        <v>14</v>
      </c>
      <c r="H41" s="9" t="n">
        <v>6.2</v>
      </c>
      <c r="I41" s="9" t="n">
        <v>4.742857142857143</v>
      </c>
      <c r="J41" s="9" t="n">
        <v>0.627037970846134</v>
      </c>
      <c r="K41" s="9" t="n">
        <v>3.72188687677055</v>
      </c>
      <c r="L41" s="9" t="n">
        <v>0.1421052629590826</v>
      </c>
      <c r="M41" s="9" t="n">
        <v>0.08880299493722039</v>
      </c>
      <c r="N41" s="9" t="n">
        <v>0.7896263307331853</v>
      </c>
      <c r="O41" s="9" t="n">
        <v>4.515748540384241</v>
      </c>
      <c r="P41" s="9" t="n">
        <v>0.2253542353904999</v>
      </c>
      <c r="Q41" s="9" t="n">
        <v>0.1439176917966296</v>
      </c>
      <c r="R41" s="9" t="n">
        <v>0.2643357343285251</v>
      </c>
      <c r="S41" s="9" t="n">
        <v>0.4811575999608966</v>
      </c>
      <c r="T41" s="9" t="n">
        <v>398134594446.0055</v>
      </c>
      <c r="U41" s="9" t="n">
        <v>0.013148799027522</v>
      </c>
      <c r="V41" s="9" t="n">
        <v>0.0042768203492089</v>
      </c>
      <c r="W41" s="9" t="n">
        <v>-1.549193338482967</v>
      </c>
      <c r="X41" s="9" t="n">
        <v>7.514272981004111</v>
      </c>
      <c r="Y41" s="9" t="n">
        <v>7.93210297869004</v>
      </c>
      <c r="Z41" s="9" t="n">
        <v>23.80547227354601</v>
      </c>
      <c r="AA41" s="9" t="n">
        <v>10.82912507434168</v>
      </c>
      <c r="AB41" s="9" t="n">
        <v>27.2496526065705</v>
      </c>
      <c r="AC41" s="9" t="n">
        <v>-11.19769302799902</v>
      </c>
      <c r="AD41" s="9" t="n">
        <v>1.549421296302171</v>
      </c>
      <c r="AE41" s="9" t="n">
        <v>251.866724537038</v>
      </c>
      <c r="AF41" s="9" t="n">
        <v>251.866724537038</v>
      </c>
      <c r="AG41" s="9" t="n">
        <v>28819.6435300926</v>
      </c>
      <c r="AH41" s="8" t="inlineStr">
        <is>
          <t>Moderate (5.0-5.9)</t>
        </is>
      </c>
    </row>
    <row r="42">
      <c r="A42" s="8" t="inlineStr">
        <is>
          <t>2022-04-20 21:57:43.000</t>
        </is>
      </c>
      <c r="B42" s="8" t="n">
        <v>2022</v>
      </c>
      <c r="C42" s="9" t="n">
        <v>6.88</v>
      </c>
      <c r="D42" s="9" t="n">
        <v>127.21</v>
      </c>
      <c r="E42" s="8" t="n">
        <v>35</v>
      </c>
      <c r="F42" s="9" t="n">
        <v>6.1</v>
      </c>
      <c r="G42" s="9" t="n">
        <v>15</v>
      </c>
      <c r="H42" s="9" t="n">
        <v>6.2</v>
      </c>
      <c r="I42" s="9" t="n">
        <v>4.773333333333334</v>
      </c>
      <c r="J42" s="9" t="n">
        <v>0.6790619277039804</v>
      </c>
      <c r="K42" s="9" t="n">
        <v>4.035817491422151</v>
      </c>
      <c r="L42" s="9" t="n">
        <v>0.1584865841137419</v>
      </c>
      <c r="M42" s="9" t="n">
        <v>0.0959833655742317</v>
      </c>
      <c r="N42" s="9" t="n">
        <v>0.7552947511360899</v>
      </c>
      <c r="O42" s="9" t="n">
        <v>4.402478151046421</v>
      </c>
      <c r="P42" s="9" t="n">
        <v>0.1960679799162252</v>
      </c>
      <c r="Q42" s="9" t="n">
        <v>0.1162287287403492</v>
      </c>
      <c r="R42" s="9" t="n">
        <v>0.2567754916434346</v>
      </c>
      <c r="S42" s="9" t="n">
        <v>0.3711786763718985</v>
      </c>
      <c r="T42" s="9" t="n">
        <v>401001275493.5476</v>
      </c>
      <c r="U42" s="9" t="n">
        <v>0.009179398348717199</v>
      </c>
      <c r="V42" s="9" t="n">
        <v>0.0054214536176622</v>
      </c>
      <c r="W42" s="9" t="n">
        <v>-1.544396001872806</v>
      </c>
      <c r="X42" s="9" t="n">
        <v>8.837152834869904</v>
      </c>
      <c r="Y42" s="9" t="n">
        <v>7.93210297869004</v>
      </c>
      <c r="Z42" s="9" t="n">
        <v>23.17016905930057</v>
      </c>
      <c r="AA42" s="9" t="n">
        <v>10.72136546784366</v>
      </c>
      <c r="AB42" s="9" t="n">
        <v>26.91136833618928</v>
      </c>
      <c r="AC42" s="9" t="n">
        <v>-10.52611096873014</v>
      </c>
      <c r="AD42" s="9" t="n">
        <v>1.857361111113278</v>
      </c>
      <c r="AE42" s="9" t="n">
        <v>252.174664351849</v>
      </c>
      <c r="AF42" s="9" t="n">
        <v>252.174664351849</v>
      </c>
      <c r="AG42" s="9" t="n">
        <v>28819.95146990741</v>
      </c>
      <c r="AH42" s="8" t="inlineStr">
        <is>
          <t>Strong (6.0-6.9)</t>
        </is>
      </c>
    </row>
    <row r="43">
      <c r="A43" s="8" t="inlineStr">
        <is>
          <t>2022-05-04 20:16:04.000</t>
        </is>
      </c>
      <c r="B43" s="8" t="n">
        <v>2022</v>
      </c>
      <c r="C43" s="9" t="n">
        <v>6.31</v>
      </c>
      <c r="D43" s="9" t="n">
        <v>127.47</v>
      </c>
      <c r="E43" s="8" t="n">
        <v>80</v>
      </c>
      <c r="F43" s="9" t="n">
        <v>5.2</v>
      </c>
      <c r="G43" s="9" t="n">
        <v>6</v>
      </c>
      <c r="H43" s="9" t="n">
        <v>6.1</v>
      </c>
      <c r="I43" s="9" t="n">
        <v>4.533333333333332</v>
      </c>
      <c r="J43" s="9" t="n">
        <v>0.1267494718585183</v>
      </c>
      <c r="K43" s="9" t="n">
        <v>0.70662830561124</v>
      </c>
      <c r="L43" s="9" t="n">
        <v>0.0117881766396376</v>
      </c>
      <c r="M43" s="9" t="n">
        <v>0.08735604496997521</v>
      </c>
      <c r="N43" s="9" t="n">
        <v>0.4136137922888113</v>
      </c>
      <c r="O43" s="9" t="n">
        <v>2.07956930250587</v>
      </c>
      <c r="P43" s="9" t="n">
        <v>0.1255290790437758</v>
      </c>
      <c r="Q43" s="9" t="n">
        <v>0.2412247930617737</v>
      </c>
      <c r="R43" s="9" t="n">
        <v>0.5249999999999986</v>
      </c>
      <c r="S43" s="9" t="n">
        <v>1.072195460412058</v>
      </c>
      <c r="T43" s="9" t="n">
        <v>309428090859.0199</v>
      </c>
      <c r="U43" s="9" t="n">
        <v>0.4166310031992724</v>
      </c>
      <c r="V43" s="9" t="n">
        <v>0.0574326192676173</v>
      </c>
      <c r="W43" s="9" t="n">
        <v>1.866513050514766</v>
      </c>
      <c r="X43" s="9" t="n">
        <v>1.673801037376015</v>
      </c>
      <c r="Y43" s="9" t="n">
        <v>5.69039998388822</v>
      </c>
      <c r="Z43" s="9" t="n">
        <v>17.37562433470001</v>
      </c>
      <c r="AA43" s="9" t="n">
        <v>6.104478120563454</v>
      </c>
      <c r="AB43" s="9" t="n">
        <v>21.64359324558467</v>
      </c>
      <c r="AC43" s="9" t="n">
        <v>-0.5059844359660789</v>
      </c>
      <c r="AD43" s="9" t="n">
        <v>13.92940972222277</v>
      </c>
      <c r="AE43" s="9" t="n">
        <v>266.1040740740718</v>
      </c>
      <c r="AF43" s="9" t="n">
        <v>266.1040740740718</v>
      </c>
      <c r="AG43" s="9" t="n">
        <v>23598.4965162037</v>
      </c>
      <c r="AH43" s="8" t="inlineStr">
        <is>
          <t>Moderate (5.0-5.9)</t>
        </is>
      </c>
    </row>
    <row r="44">
      <c r="A44" s="8" t="inlineStr">
        <is>
          <t>2022-05-04 21:41:04.000</t>
        </is>
      </c>
      <c r="B44" s="8" t="n">
        <v>2022</v>
      </c>
      <c r="C44" s="9" t="n">
        <v>6.2</v>
      </c>
      <c r="D44" s="9" t="n">
        <v>127.34</v>
      </c>
      <c r="E44" s="8" t="n">
        <v>96</v>
      </c>
      <c r="F44" s="9" t="n">
        <v>5.7</v>
      </c>
      <c r="G44" s="9" t="n">
        <v>7</v>
      </c>
      <c r="H44" s="9" t="n">
        <v>6.1</v>
      </c>
      <c r="I44" s="9" t="n">
        <v>4.628571428571428</v>
      </c>
      <c r="J44" s="9" t="n">
        <v>0.3117989477581666</v>
      </c>
      <c r="K44" s="9" t="n">
        <v>1.807595251174406</v>
      </c>
      <c r="L44" s="9" t="n">
        <v>0.06393971452483289</v>
      </c>
      <c r="M44" s="9" t="n">
        <v>0.0760464132297638</v>
      </c>
      <c r="N44" s="9" t="n">
        <v>0.4271749002327067</v>
      </c>
      <c r="O44" s="9" t="n">
        <v>2.313973325720301</v>
      </c>
      <c r="P44" s="9" t="n">
        <v>0.1200142611554748</v>
      </c>
      <c r="Q44" s="9" t="n">
        <v>0.1567194639091207</v>
      </c>
      <c r="R44" s="9" t="n">
        <v>0.3026897006195517</v>
      </c>
      <c r="S44" s="9" t="n">
        <v>0.6830775065207551</v>
      </c>
      <c r="T44" s="9" t="n">
        <v>313107986268.9948</v>
      </c>
      <c r="U44" s="9" t="n">
        <v>0.1160387807011812</v>
      </c>
      <c r="V44" s="9" t="n">
        <v>0.0522968221278513</v>
      </c>
      <c r="W44" s="9" t="n">
        <v>1.485221314465011</v>
      </c>
      <c r="X44" s="9" t="n">
        <v>1.823013158930098</v>
      </c>
      <c r="Y44" s="9" t="n">
        <v>5.69039998388822</v>
      </c>
      <c r="Z44" s="9" t="n">
        <v>17.96992722690919</v>
      </c>
      <c r="AA44" s="9" t="n">
        <v>5.790185584030591</v>
      </c>
      <c r="AB44" s="9" t="n">
        <v>21.63902035568521</v>
      </c>
      <c r="AC44" s="9" t="n">
        <v>0.297534993507122</v>
      </c>
      <c r="AD44" s="9" t="n">
        <v>13.98843750000378</v>
      </c>
      <c r="AE44" s="9" t="n">
        <v>266.1631018518528</v>
      </c>
      <c r="AF44" s="9" t="n">
        <v>266.1631018518528</v>
      </c>
      <c r="AG44" s="9" t="n">
        <v>23598.55554398149</v>
      </c>
      <c r="AH44" s="8" t="inlineStr">
        <is>
          <t>Moderate (5.0-5.9)</t>
        </is>
      </c>
    </row>
    <row r="45">
      <c r="A45" s="8" t="inlineStr">
        <is>
          <t>2022-05-05 08:21:12.000</t>
        </is>
      </c>
      <c r="B45" s="8" t="n">
        <v>2022</v>
      </c>
      <c r="C45" s="9" t="n">
        <v>6.22</v>
      </c>
      <c r="D45" s="9" t="n">
        <v>127.58</v>
      </c>
      <c r="E45" s="8" t="n">
        <v>34</v>
      </c>
      <c r="F45" s="9" t="n">
        <v>6</v>
      </c>
      <c r="G45" s="9" t="n">
        <v>9</v>
      </c>
      <c r="H45" s="9" t="n">
        <v>5.7</v>
      </c>
      <c r="I45" s="9" t="n">
        <v>4.566666666666666</v>
      </c>
      <c r="J45" s="9" t="n">
        <v>0.5654684903316208</v>
      </c>
      <c r="K45" s="9" t="n">
        <v>3.13679542920889</v>
      </c>
      <c r="L45" s="9" t="n">
        <v>0.1392157143382373</v>
      </c>
      <c r="M45" s="9" t="n">
        <v>0.069135701522686</v>
      </c>
      <c r="N45" s="9" t="n">
        <v>0.7619201436899162</v>
      </c>
      <c r="O45" s="9" t="n">
        <v>4.05141863657165</v>
      </c>
      <c r="P45" s="9" t="n">
        <v>0.2527495273039971</v>
      </c>
      <c r="Q45" s="9" t="n">
        <v>0.1195147576508857</v>
      </c>
      <c r="R45" s="9" t="n">
        <v>0.1527493877345733</v>
      </c>
      <c r="S45" s="9" t="n">
        <v>0.3826203899125637</v>
      </c>
      <c r="T45" s="9" t="n">
        <v>145759781357.7741</v>
      </c>
      <c r="U45" s="9" t="n">
        <v>0.0201184505091015</v>
      </c>
      <c r="V45" s="9" t="n">
        <v>0.0051789243705977</v>
      </c>
      <c r="W45" s="9" t="n">
        <v>-0.4723774929733301</v>
      </c>
      <c r="X45" s="9" t="n">
        <v>3.366510860828805</v>
      </c>
      <c r="Y45" s="9" t="n">
        <v>5.69039998388822</v>
      </c>
      <c r="Z45" s="9" t="n">
        <v>14.89469038253409</v>
      </c>
      <c r="AA45" s="9" t="n">
        <v>8.406273533569532</v>
      </c>
      <c r="AB45" s="9" t="n">
        <v>10.63176900426468</v>
      </c>
      <c r="AC45" s="9" t="n">
        <v>-0.115261020418083</v>
      </c>
      <c r="AD45" s="9" t="n">
        <v>14.43297453703417</v>
      </c>
      <c r="AE45" s="9" t="n">
        <v>266.6076388888832</v>
      </c>
      <c r="AF45" s="9" t="n">
        <v>266.6076388888832</v>
      </c>
      <c r="AG45" s="9" t="n">
        <v>23599.00008101852</v>
      </c>
      <c r="AH45" s="8" t="inlineStr">
        <is>
          <t>Strong (6.0-6.9)</t>
        </is>
      </c>
    </row>
    <row r="46">
      <c r="A46" s="8" t="inlineStr">
        <is>
          <t>2022-05-05 19:54:40.000</t>
        </is>
      </c>
      <c r="B46" s="8" t="n">
        <v>2022</v>
      </c>
      <c r="C46" s="9" t="n">
        <v>6.37</v>
      </c>
      <c r="D46" s="9" t="n">
        <v>127.36</v>
      </c>
      <c r="E46" s="8" t="n">
        <v>90</v>
      </c>
      <c r="F46" s="9" t="n">
        <v>5.2</v>
      </c>
      <c r="G46" s="9" t="n">
        <v>10</v>
      </c>
      <c r="H46" s="9" t="n">
        <v>6</v>
      </c>
      <c r="I46" s="9" t="n">
        <v>4.71</v>
      </c>
      <c r="J46" s="9" t="n">
        <v>0.4533376837426222</v>
      </c>
      <c r="K46" s="9" t="n">
        <v>2.751293380514701</v>
      </c>
      <c r="L46" s="9" t="n">
        <v>0.1048583607498572</v>
      </c>
      <c r="M46" s="9" t="n">
        <v>0.06543410528724899</v>
      </c>
      <c r="N46" s="9" t="n">
        <v>0.5790593092043358</v>
      </c>
      <c r="O46" s="9" t="n">
        <v>3.326012210882721</v>
      </c>
      <c r="P46" s="9" t="n">
        <v>0.1710824721703238</v>
      </c>
      <c r="Q46" s="9" t="n">
        <v>0.1101632980843387</v>
      </c>
      <c r="R46" s="9" t="n">
        <v>-0.06897127501255609</v>
      </c>
      <c r="S46" s="9" t="n">
        <v>0.2561803980789578</v>
      </c>
      <c r="T46" s="9" t="n">
        <v>290416336161.5284</v>
      </c>
      <c r="U46" s="9" t="n">
        <v>0.0436502714454356</v>
      </c>
      <c r="V46" s="9" t="n">
        <v>0.0183156388887341</v>
      </c>
      <c r="W46" s="9" t="n">
        <v>-0.5477225575051662</v>
      </c>
      <c r="X46" s="9" t="n">
        <v>3.28263885576079</v>
      </c>
      <c r="Y46" s="9" t="n">
        <v>5.69039998388822</v>
      </c>
      <c r="Z46" s="9" t="n">
        <v>16.50747696436224</v>
      </c>
      <c r="AA46" s="9" t="n">
        <v>9.424676404918085</v>
      </c>
      <c r="AB46" s="9" t="n">
        <v>24.69665449888421</v>
      </c>
      <c r="AC46" s="9" t="n">
        <v>0.0878961894856992</v>
      </c>
      <c r="AD46" s="9" t="n">
        <v>0.4815740740741603</v>
      </c>
      <c r="AE46" s="9" t="n">
        <v>267.0892129629574</v>
      </c>
      <c r="AF46" s="9" t="n">
        <v>267.0892129629574</v>
      </c>
      <c r="AG46" s="9" t="n">
        <v>23599.48165509259</v>
      </c>
      <c r="AH46" s="8" t="inlineStr">
        <is>
          <t>Moderate (5.0-5.9)</t>
        </is>
      </c>
    </row>
    <row r="47">
      <c r="A47" s="8" t="inlineStr">
        <is>
          <t>2022-05-06 00:02:21.000</t>
        </is>
      </c>
      <c r="B47" s="8" t="n">
        <v>2022</v>
      </c>
      <c r="C47" s="9" t="n">
        <v>6.44</v>
      </c>
      <c r="D47" s="9" t="n">
        <v>127.33</v>
      </c>
      <c r="E47" s="8" t="n">
        <v>65</v>
      </c>
      <c r="F47" s="9" t="n">
        <v>5.2</v>
      </c>
      <c r="G47" s="9" t="n">
        <v>12</v>
      </c>
      <c r="H47" s="9" t="n">
        <v>6</v>
      </c>
      <c r="I47" s="9" t="n">
        <v>4.691666666666667</v>
      </c>
      <c r="J47" s="9" t="n">
        <v>0.5176266808575112</v>
      </c>
      <c r="K47" s="9" t="n">
        <v>3.136363956399164</v>
      </c>
      <c r="L47" s="9" t="n">
        <v>0.121950741557795</v>
      </c>
      <c r="M47" s="9" t="n">
        <v>0.07556713241430631</v>
      </c>
      <c r="N47" s="9" t="n">
        <v>0.5706058886320097</v>
      </c>
      <c r="O47" s="9" t="n">
        <v>3.350787241693765</v>
      </c>
      <c r="P47" s="9" t="n">
        <v>0.1481916168578573</v>
      </c>
      <c r="Q47" s="9" t="n">
        <v>0.0943736087790652</v>
      </c>
      <c r="R47" s="9" t="n">
        <v>-0.0591234424071753</v>
      </c>
      <c r="S47" s="9" t="n">
        <v>0.1276679605829889</v>
      </c>
      <c r="T47" s="9" t="n">
        <v>294360943221.3759</v>
      </c>
      <c r="U47" s="9" t="n">
        <v>0.0279975453915982</v>
      </c>
      <c r="V47" s="9" t="n">
        <v>0.0194170090979105</v>
      </c>
      <c r="W47" s="9" t="n">
        <v>-0.669774686623137</v>
      </c>
      <c r="X47" s="9" t="n">
        <v>4.210104577877338</v>
      </c>
      <c r="Y47" s="9" t="n">
        <v>5.69039998388822</v>
      </c>
      <c r="Z47" s="9" t="n">
        <v>17.7159087080727</v>
      </c>
      <c r="AA47" s="9" t="n">
        <v>11.26597197906444</v>
      </c>
      <c r="AB47" s="9" t="n">
        <v>24.00248420919909</v>
      </c>
      <c r="AC47" s="9" t="n">
        <v>-0.4634696399949546</v>
      </c>
      <c r="AD47" s="9" t="n">
        <v>0.6535763888896327</v>
      </c>
      <c r="AE47" s="9" t="n">
        <v>267.2612152777729</v>
      </c>
      <c r="AF47" s="9" t="n">
        <v>267.2612152777729</v>
      </c>
      <c r="AG47" s="9" t="n">
        <v>35815.31899305555</v>
      </c>
      <c r="AH47" s="8" t="inlineStr">
        <is>
          <t>Moderate (5.0-5.9)</t>
        </is>
      </c>
    </row>
    <row r="48">
      <c r="A48" s="8" t="inlineStr">
        <is>
          <t>2022-07-27 00:43:24.000</t>
        </is>
      </c>
      <c r="B48" s="8" t="n">
        <v>2022</v>
      </c>
      <c r="C48" s="9" t="n">
        <v>17.63</v>
      </c>
      <c r="D48" s="9" t="n">
        <v>120.63</v>
      </c>
      <c r="E48" s="8" t="n">
        <v>15</v>
      </c>
      <c r="F48" s="9" t="n">
        <v>7</v>
      </c>
      <c r="G48" s="9" t="n">
        <v>3</v>
      </c>
      <c r="H48" s="9" t="n">
        <v>4.8</v>
      </c>
      <c r="I48" s="9" t="n">
        <v>4.366666666666666</v>
      </c>
      <c r="J48" s="9" t="n">
        <v>0.5767855668282794</v>
      </c>
      <c r="K48" s="9" t="n">
        <v>2.663964678683798</v>
      </c>
      <c r="L48" s="9" t="n">
        <v>0.167251329103044</v>
      </c>
      <c r="M48" s="9" t="n">
        <v>0.1212126591060533</v>
      </c>
      <c r="N48" s="9" t="n">
        <v>1.371456258641849</v>
      </c>
      <c r="O48" s="9" t="n">
        <v>6.100091915151243</v>
      </c>
      <c r="P48" s="9" t="n">
        <v>0.9455940494198064</v>
      </c>
      <c r="Q48" s="9" t="n">
        <v>0.2416451589477679</v>
      </c>
      <c r="R48" s="9" t="n">
        <v>0.1813603670202219</v>
      </c>
      <c r="S48" s="9" t="n">
        <v>0.3521061085884316</v>
      </c>
      <c r="T48" s="9" t="n">
        <v>22289279192.1895</v>
      </c>
      <c r="U48" s="9" t="n">
        <v>0.0186055837053989</v>
      </c>
      <c r="V48" s="9" t="n">
        <v>7.684776196487846e-05</v>
      </c>
      <c r="W48" s="9" t="n">
        <v>-1</v>
      </c>
      <c r="X48" s="9" t="n">
        <v>4.95782220511194</v>
      </c>
      <c r="Y48" s="9" t="n">
        <v>10.2569880126441</v>
      </c>
      <c r="Z48" s="9" t="n">
        <v>13.22088047699877</v>
      </c>
      <c r="AA48" s="9" t="n">
        <v>4.32214427189223</v>
      </c>
      <c r="AB48" s="9" t="n">
        <v>11.63522441045821</v>
      </c>
      <c r="AC48" s="9" t="n">
        <v>-24.46706226185498</v>
      </c>
      <c r="AD48" s="9" t="n">
        <v>9240.275160879624</v>
      </c>
      <c r="AE48" s="9" t="n">
        <v>14223.51767824074</v>
      </c>
      <c r="AF48" s="9" t="n">
        <v>26507.90247685185</v>
      </c>
      <c r="AG48" s="9" t="n">
        <v>43535.17270833333</v>
      </c>
      <c r="AH48" s="8" t="inlineStr">
        <is>
          <t>Major (&gt;=7.0)</t>
        </is>
      </c>
    </row>
    <row r="49">
      <c r="A49" s="8" t="inlineStr">
        <is>
          <t>2022-08-01 17:10:12.000</t>
        </is>
      </c>
      <c r="B49" s="8" t="n">
        <v>2022</v>
      </c>
      <c r="C49" s="9" t="n">
        <v>11.33</v>
      </c>
      <c r="D49" s="9" t="n">
        <v>125.48</v>
      </c>
      <c r="E49" s="8" t="n">
        <v>42</v>
      </c>
      <c r="F49" s="9" t="n">
        <v>5.1</v>
      </c>
      <c r="G49" s="9" t="n">
        <v>7</v>
      </c>
      <c r="H49" s="9" t="n">
        <v>4.6</v>
      </c>
      <c r="I49" s="9" t="n">
        <v>4.257142857142857</v>
      </c>
      <c r="J49" s="9" t="n">
        <v>0.778151250383645</v>
      </c>
      <c r="K49" s="9" t="n">
        <v>3.820319748295952</v>
      </c>
      <c r="L49" s="9" t="n">
        <v>0.1354267973216908</v>
      </c>
      <c r="M49" s="9" t="n">
        <v>0.0623424306088071</v>
      </c>
      <c r="N49" s="9" t="n">
        <v>1.579252661466373</v>
      </c>
      <c r="O49" s="9" t="n">
        <v>7.23492116948673</v>
      </c>
      <c r="P49" s="9" t="n">
        <v>0.5578016617115493</v>
      </c>
      <c r="Q49" s="9" t="n">
        <v>0.1578589805916661</v>
      </c>
      <c r="R49" s="9" t="n">
        <v>-0.3094822457876329</v>
      </c>
      <c r="S49" s="9" t="n">
        <v>0.0187690506920308</v>
      </c>
      <c r="T49" s="9" t="n">
        <v>22979125951.49868</v>
      </c>
      <c r="U49" s="9" t="n">
        <v>0.0046296296296295</v>
      </c>
      <c r="V49" s="9" t="n">
        <v>1.82911922994072e-05</v>
      </c>
      <c r="W49" s="9" t="n">
        <v>1.666666666666667</v>
      </c>
      <c r="X49" s="9" t="n">
        <v>7.256861376451739</v>
      </c>
      <c r="Y49" s="9" t="n">
        <v>5.83792329882</v>
      </c>
      <c r="Z49" s="9" t="n">
        <v>18.2947883262086</v>
      </c>
      <c r="AA49" s="9" t="n">
        <v>7.35115734419072</v>
      </c>
      <c r="AB49" s="9" t="n">
        <v>16.16150042958551</v>
      </c>
      <c r="AC49" s="9" t="n">
        <v>-1.967124423915808</v>
      </c>
      <c r="AD49" s="9" t="n">
        <v>1196.480798611112</v>
      </c>
      <c r="AE49" s="9" t="n">
        <v>1196.480798611112</v>
      </c>
      <c r="AF49" s="9" t="n">
        <v>9964.69124537037</v>
      </c>
      <c r="AG49" s="9" t="n">
        <v>43535.17270833333</v>
      </c>
      <c r="AH49" s="8" t="inlineStr">
        <is>
          <t>Moderate (5.0-5.9)</t>
        </is>
      </c>
    </row>
    <row r="50">
      <c r="A50" s="8" t="inlineStr">
        <is>
          <t>2022-10-03 08:07:49.000</t>
        </is>
      </c>
      <c r="B50" s="8" t="n">
        <v>2022</v>
      </c>
      <c r="C50" s="9" t="n">
        <v>9.970000000000001</v>
      </c>
      <c r="D50" s="9" t="n">
        <v>126.38</v>
      </c>
      <c r="E50" s="8" t="n">
        <v>13</v>
      </c>
      <c r="F50" s="9" t="n">
        <v>5.1</v>
      </c>
      <c r="G50" s="9" t="n">
        <v>7</v>
      </c>
      <c r="H50" s="9" t="n">
        <v>5.3</v>
      </c>
      <c r="I50" s="9" t="n">
        <v>4.457142857142856</v>
      </c>
      <c r="J50" s="9" t="n">
        <v>0.7511369330981239</v>
      </c>
      <c r="K50" s="9" t="n">
        <v>3.799413036414721</v>
      </c>
      <c r="L50" s="9" t="n">
        <v>0.2097360159105632</v>
      </c>
      <c r="M50" s="9" t="n">
        <v>0.1374658689222091</v>
      </c>
      <c r="N50" s="9" t="n">
        <v>0.9240308125601108</v>
      </c>
      <c r="O50" s="9" t="n">
        <v>4.579899417088485</v>
      </c>
      <c r="P50" s="9" t="n">
        <v>0.317400559194396</v>
      </c>
      <c r="Q50" s="9" t="n">
        <v>0.1447061740071459</v>
      </c>
      <c r="R50" s="9" t="n">
        <v>0.2417837560672966</v>
      </c>
      <c r="S50" s="9" t="n">
        <v>0.3435641811559726</v>
      </c>
      <c r="T50" s="9" t="n">
        <v>62942631364.69504</v>
      </c>
      <c r="U50" s="9" t="n">
        <v>0.0055794218735508</v>
      </c>
      <c r="V50" s="9" t="n">
        <v>0.0016900811669755</v>
      </c>
      <c r="W50" s="9" t="n">
        <v>-2.645751311064591</v>
      </c>
      <c r="X50" s="9" t="n">
        <v>3.877145731313481</v>
      </c>
      <c r="Y50" s="9" t="n">
        <v>21.1272709981651</v>
      </c>
      <c r="Z50" s="9" t="n">
        <v>28.92534554166699</v>
      </c>
      <c r="AA50" s="9" t="n">
        <v>5.334159702534057</v>
      </c>
      <c r="AB50" s="9" t="n">
        <v>25.00495377758308</v>
      </c>
      <c r="AC50" s="9" t="n">
        <v>-0.5480199940481911</v>
      </c>
      <c r="AD50" s="9" t="n">
        <v>1304.709444444445</v>
      </c>
      <c r="AE50" s="9" t="n">
        <v>3621.576571759259</v>
      </c>
      <c r="AF50" s="9" t="n">
        <v>25764.88243055556</v>
      </c>
      <c r="AG50" s="9" t="n">
        <v>25764.88243055556</v>
      </c>
      <c r="AH50" s="8" t="inlineStr">
        <is>
          <t>Moderate (5.0-5.9)</t>
        </is>
      </c>
    </row>
    <row r="51">
      <c r="A51" s="8" t="inlineStr">
        <is>
          <t>2022-10-24 15:08:31.000</t>
        </is>
      </c>
      <c r="B51" s="8" t="n">
        <v>2022</v>
      </c>
      <c r="C51" s="9" t="n">
        <v>11.22</v>
      </c>
      <c r="D51" s="9" t="n">
        <v>126.06</v>
      </c>
      <c r="E51" s="8" t="n">
        <v>16</v>
      </c>
      <c r="F51" s="9" t="n">
        <v>5.3</v>
      </c>
      <c r="G51" s="9" t="n">
        <v>5</v>
      </c>
      <c r="H51" s="9" t="n">
        <v>4.7</v>
      </c>
      <c r="I51" s="9" t="n">
        <v>4.360000000000001</v>
      </c>
      <c r="J51" s="9" t="n">
        <v>-0</v>
      </c>
      <c r="K51" s="9" t="n">
        <v>0</v>
      </c>
      <c r="L51" s="9" t="n">
        <v>0</v>
      </c>
      <c r="M51" s="9" t="n">
        <v>0</v>
      </c>
      <c r="N51" s="9" t="n">
        <v/>
      </c>
      <c r="O51" s="9" t="n">
        <v/>
      </c>
      <c r="P51" s="9" t="n">
        <v/>
      </c>
      <c r="Q51" s="9" t="n">
        <v/>
      </c>
      <c r="R51" s="9" t="n">
        <v/>
      </c>
      <c r="S51" s="9" t="n">
        <v/>
      </c>
      <c r="T51" s="9" t="n">
        <v>22482794118.71777</v>
      </c>
      <c r="U51" s="9" t="n">
        <v>1</v>
      </c>
      <c r="V51" s="9" t="n">
        <v/>
      </c>
      <c r="W51" s="9" t="n">
        <v>-0.9486832980505135</v>
      </c>
      <c r="X51" s="9" t="n">
        <v>3.972547263735605</v>
      </c>
      <c r="Y51" s="9" t="n">
        <v>16.027768939937</v>
      </c>
      <c r="Z51" s="9" t="n">
        <v>31.45607686352454</v>
      </c>
      <c r="AA51" s="9" t="n">
        <v>18.20356757011093</v>
      </c>
      <c r="AB51" s="9" t="n">
        <v>25.08087470534604</v>
      </c>
      <c r="AC51" s="9" t="n">
        <v>0.5370678915692637</v>
      </c>
      <c r="AD51" s="9" t="n">
        <v>1280.396296296298</v>
      </c>
      <c r="AE51" s="9" t="n">
        <v>1280.396296296298</v>
      </c>
      <c r="AF51" s="9" t="n">
        <v>10048.6240462963</v>
      </c>
      <c r="AG51" s="9" t="n">
        <v>43535.17270833333</v>
      </c>
      <c r="AH51" s="8" t="inlineStr">
        <is>
          <t>Moderate (5.0-5.9)</t>
        </is>
      </c>
    </row>
    <row r="52">
      <c r="A52" s="8" t="inlineStr">
        <is>
          <t>2022-12-19 21:44:24.000</t>
        </is>
      </c>
      <c r="B52" s="8" t="n">
        <v>2022</v>
      </c>
      <c r="C52" s="9" t="n">
        <v>7.82</v>
      </c>
      <c r="D52" s="9" t="n">
        <v>124.74</v>
      </c>
      <c r="E52" s="8" t="n">
        <v>4</v>
      </c>
      <c r="F52" s="9" t="n">
        <v>5</v>
      </c>
      <c r="G52" s="9" t="n">
        <v>3</v>
      </c>
      <c r="H52" s="9" t="n">
        <v>4.4</v>
      </c>
      <c r="I52" s="9" t="n">
        <v>4.300000000000001</v>
      </c>
      <c r="J52" s="9" t="n">
        <v>2.385606273598328</v>
      </c>
      <c r="K52" s="9" t="n">
        <v>10.5174907266007</v>
      </c>
      <c r="L52" s="9" t="n">
        <v>0.7557266632048494</v>
      </c>
      <c r="M52" s="9" t="n">
        <v>0.0360667066065058</v>
      </c>
      <c r="N52" s="9" t="n">
        <v>2.895296546021672</v>
      </c>
      <c r="O52" s="9" t="n">
        <v>12.63736674801068</v>
      </c>
      <c r="P52" s="9" t="n">
        <v>1.113149032428996</v>
      </c>
      <c r="Q52" s="9" t="n">
        <v>0.1078416351329136</v>
      </c>
      <c r="R52" s="9" t="n">
        <v>-0.0087286502380967</v>
      </c>
      <c r="S52" s="9" t="n">
        <v>0.0352081566997837</v>
      </c>
      <c r="T52" s="9" t="n">
        <v>13207508090.97011</v>
      </c>
      <c r="U52" s="9" t="n">
        <v>6.969171937624866e-08</v>
      </c>
      <c r="V52" s="9" t="n">
        <v>2.061153622438658e-09</v>
      </c>
      <c r="W52" s="9" t="n">
        <v>1.441153384245784</v>
      </c>
      <c r="X52" s="9" t="n">
        <v>6.539149811747721</v>
      </c>
      <c r="Y52" s="9" t="n">
        <v>50.395267427876</v>
      </c>
      <c r="Z52" s="9" t="n">
        <v>51.45228483993237</v>
      </c>
      <c r="AA52" s="9" t="n">
        <v>1.735781209263222</v>
      </c>
      <c r="AB52" s="9" t="n">
        <v>51.40110775407676</v>
      </c>
      <c r="AC52" s="9" t="n">
        <v>0.8015504658727024</v>
      </c>
      <c r="AD52" s="9" t="n">
        <v>870.1912962962961</v>
      </c>
      <c r="AE52" s="9" t="n">
        <v>24725.17097222222</v>
      </c>
      <c r="AF52" s="9" t="n">
        <v>24735.14393055556</v>
      </c>
      <c r="AG52" s="9" t="n">
        <v>43535.17270833333</v>
      </c>
      <c r="AH52" s="8" t="inlineStr">
        <is>
          <t>Moderate (5.0-5.9)</t>
        </is>
      </c>
    </row>
    <row r="53">
      <c r="A53" s="8" t="inlineStr">
        <is>
          <t>2023-01-18 06:06:10.000</t>
        </is>
      </c>
      <c r="B53" s="8" t="n">
        <v>2023</v>
      </c>
      <c r="C53" s="9" t="n">
        <v>2.86</v>
      </c>
      <c r="D53" s="9" t="n">
        <v>127.04</v>
      </c>
      <c r="E53" s="8" t="n">
        <v>15</v>
      </c>
      <c r="F53" s="9" t="n">
        <v>7</v>
      </c>
      <c r="G53" s="9" t="n">
        <v>7</v>
      </c>
      <c r="H53" s="9" t="n">
        <v>7</v>
      </c>
      <c r="I53" s="9" t="n">
        <v>5.028571428571429</v>
      </c>
      <c r="J53" s="9" t="n">
        <v>0.2351481339034219</v>
      </c>
      <c r="K53" s="9" t="n">
        <v>1.505402125992121</v>
      </c>
      <c r="L53" s="9" t="n">
        <v>0.0451533473656589</v>
      </c>
      <c r="M53" s="9" t="n">
        <v>0.1077835511414718</v>
      </c>
      <c r="N53" s="9" t="n">
        <v>0.469507548003516</v>
      </c>
      <c r="O53" s="9" t="n">
        <v>2.761794712144137</v>
      </c>
      <c r="P53" s="9" t="n">
        <v>0.1800080948233776</v>
      </c>
      <c r="Q53" s="9" t="n">
        <v>0.2220739841202475</v>
      </c>
      <c r="R53" s="9" t="n">
        <v>0.5980690086598486</v>
      </c>
      <c r="S53" s="9" t="n">
        <v>1.117677715964102</v>
      </c>
      <c r="T53" s="9" t="n">
        <v>1996863356605.223</v>
      </c>
      <c r="U53" s="9" t="n">
        <v>0.1970405441967973</v>
      </c>
      <c r="V53" s="9" t="n">
        <v>0.0390370828135296</v>
      </c>
      <c r="W53" s="9" t="n">
        <v>-1</v>
      </c>
      <c r="X53" s="9" t="n">
        <v>5.313393380554861</v>
      </c>
      <c r="Y53" s="9" t="n">
        <v>253.831884506131</v>
      </c>
      <c r="Z53" s="9" t="n">
        <v>275.4377346177477</v>
      </c>
      <c r="AA53" s="9" t="n">
        <v>24.85887040260782</v>
      </c>
      <c r="AB53" s="9" t="n">
        <v>254.0969732715533</v>
      </c>
      <c r="AC53" s="9" t="n">
        <v>10.96153202156723</v>
      </c>
      <c r="AD53" s="9" t="n">
        <v>0.5</v>
      </c>
      <c r="AE53" s="9" t="n">
        <v>0.5</v>
      </c>
      <c r="AF53" s="9" t="n">
        <v>0.5</v>
      </c>
      <c r="AG53" s="9" t="n">
        <v>5088.521724537037</v>
      </c>
      <c r="AH53" s="8" t="inlineStr">
        <is>
          <t>Major (&gt;=7.0)</t>
        </is>
      </c>
    </row>
    <row r="54">
      <c r="A54" s="8" t="inlineStr">
        <is>
          <t>2023-01-18 08:01:18.000</t>
        </is>
      </c>
      <c r="B54" s="8" t="n">
        <v>2023</v>
      </c>
      <c r="C54" s="9" t="n">
        <v>2.2</v>
      </c>
      <c r="D54" s="9" t="n">
        <v>127.31</v>
      </c>
      <c r="E54" s="8" t="n">
        <v>62</v>
      </c>
      <c r="F54" s="9" t="n">
        <v>5.4</v>
      </c>
      <c r="G54" s="9" t="n">
        <v>5</v>
      </c>
      <c r="H54" s="9" t="n">
        <v>7</v>
      </c>
      <c r="I54" s="9" t="n">
        <v>5.7</v>
      </c>
      <c r="J54" s="9" t="n">
        <v/>
      </c>
      <c r="K54" s="9" t="n">
        <v/>
      </c>
      <c r="L54" s="9" t="n">
        <v/>
      </c>
      <c r="M54" s="9" t="n">
        <v/>
      </c>
      <c r="N54" s="9" t="n">
        <v/>
      </c>
      <c r="O54" s="9" t="n">
        <v/>
      </c>
      <c r="P54" s="9" t="n">
        <v/>
      </c>
      <c r="Q54" s="9" t="n">
        <v/>
      </c>
      <c r="R54" s="9" t="n">
        <v/>
      </c>
      <c r="S54" s="9" t="n">
        <v/>
      </c>
      <c r="T54" s="9" t="n">
        <v>2822712866071.476</v>
      </c>
      <c r="U54" s="9" t="n">
        <v/>
      </c>
      <c r="V54" s="9" t="n">
        <v/>
      </c>
      <c r="W54" s="9" t="n">
        <v>-1</v>
      </c>
      <c r="X54" s="9" t="n">
        <v>10.13924389296033</v>
      </c>
      <c r="Y54" s="9" t="n">
        <v>253.831884506131</v>
      </c>
      <c r="Z54" s="9" t="n">
        <v>277.2161342525258</v>
      </c>
      <c r="AA54" s="9" t="n">
        <v>30.77405170255296</v>
      </c>
      <c r="AB54" s="9" t="n">
        <v>253.9575289830833</v>
      </c>
      <c r="AC54" s="9" t="n">
        <v>-23.54364585584836</v>
      </c>
      <c r="AD54" s="9" t="n">
        <v>0.07995370370190349</v>
      </c>
      <c r="AE54" s="9" t="n">
        <v>0.07995370370190349</v>
      </c>
      <c r="AF54" s="9" t="n">
        <v>0.07995370370190349</v>
      </c>
      <c r="AG54" s="9" t="n">
        <v>43535.17270833333</v>
      </c>
      <c r="AH54" s="8" t="inlineStr">
        <is>
          <t>Moderate (5.0-5.9)</t>
        </is>
      </c>
    </row>
    <row r="55">
      <c r="A55" s="8" t="inlineStr">
        <is>
          <t>2023-01-24 01:10:18.000</t>
        </is>
      </c>
      <c r="B55" s="8" t="n">
        <v>2023</v>
      </c>
      <c r="C55" s="9" t="n">
        <v>2.22</v>
      </c>
      <c r="D55" s="9" t="n">
        <v>126.67</v>
      </c>
      <c r="E55" s="8" t="n">
        <v>36</v>
      </c>
      <c r="F55" s="9" t="n">
        <v>5.3</v>
      </c>
      <c r="G55" s="9" t="n">
        <v>47</v>
      </c>
      <c r="H55" s="9" t="n">
        <v>7</v>
      </c>
      <c r="I55" s="9" t="n">
        <v>4.651063829787234</v>
      </c>
      <c r="J55" s="9" t="n">
        <v>0.3804787660475439</v>
      </c>
      <c r="K55" s="9" t="n">
        <v>2.732288641158341</v>
      </c>
      <c r="L55" s="9" t="n">
        <v>0.0292958055963969</v>
      </c>
      <c r="M55" s="9" t="n">
        <v>0.1761874558779928</v>
      </c>
      <c r="N55" s="9" t="n">
        <v>0.7238241365054191</v>
      </c>
      <c r="O55" s="9" t="n">
        <v>4.584863533028234</v>
      </c>
      <c r="P55" s="9" t="n">
        <v>0.1060255949087637</v>
      </c>
      <c r="Q55" s="9" t="n">
        <v>0.3062625976244076</v>
      </c>
      <c r="R55" s="9" t="n">
        <v>-0.1811856139612251</v>
      </c>
      <c r="S55" s="9" t="n">
        <v>0.6657769452622988</v>
      </c>
      <c r="T55" s="9" t="n">
        <v>2826255177984.333</v>
      </c>
      <c r="U55" s="9" t="n">
        <v>0.07220440638333479</v>
      </c>
      <c r="V55" s="9" t="n">
        <v>0.0067379469990854</v>
      </c>
      <c r="W55" s="9" t="n">
        <v>-4.550755431793715</v>
      </c>
      <c r="X55" s="9" t="n">
        <v>33.56229214839155</v>
      </c>
      <c r="Y55" s="9" t="n">
        <v>242.899174128797</v>
      </c>
      <c r="Z55" s="9" t="n">
        <v>283.6142074704371</v>
      </c>
      <c r="AA55" s="9" t="n">
        <v>27.53498454384805</v>
      </c>
      <c r="AB55" s="9" t="n">
        <v>254.3272243179485</v>
      </c>
      <c r="AC55" s="9" t="n">
        <v>2.480188896929707</v>
      </c>
      <c r="AD55" s="9" t="n">
        <v>5.794537037036207</v>
      </c>
      <c r="AE55" s="9" t="n">
        <v>5.794537037036207</v>
      </c>
      <c r="AF55" s="9" t="n">
        <v>5.794537037036207</v>
      </c>
      <c r="AG55" s="9" t="n">
        <v>43535.17270833333</v>
      </c>
      <c r="AH55" s="8" t="inlineStr">
        <is>
          <t>Moderate (5.0-5.9)</t>
        </is>
      </c>
    </row>
    <row r="56">
      <c r="A56" s="8" t="inlineStr">
        <is>
          <t>2023-01-24 16:10:22.000</t>
        </is>
      </c>
      <c r="B56" s="8" t="n">
        <v>2023</v>
      </c>
      <c r="C56" s="9" t="n">
        <v>3.81</v>
      </c>
      <c r="D56" s="9" t="n">
        <v>128.63</v>
      </c>
      <c r="E56" s="8" t="n">
        <v>63</v>
      </c>
      <c r="F56" s="9" t="n">
        <v>5.1</v>
      </c>
      <c r="G56" s="9" t="n">
        <v>4</v>
      </c>
      <c r="H56" s="9" t="n">
        <v>4.5</v>
      </c>
      <c r="I56" s="9" t="n">
        <v>4.35</v>
      </c>
      <c r="J56" s="9" t="n">
        <v>0.9030899869919394</v>
      </c>
      <c r="K56" s="9" t="n">
        <v>4.304728937994913</v>
      </c>
      <c r="L56" s="9" t="n">
        <v>0.1624503015495812</v>
      </c>
      <c r="M56" s="9" t="n">
        <v>0.0951940430328793</v>
      </c>
      <c r="N56" s="9" t="n">
        <v>2.171472409516267</v>
      </c>
      <c r="O56" s="9" t="n">
        <v>9.722244111296284</v>
      </c>
      <c r="P56" s="9" t="n">
        <v>0.9392194961119752</v>
      </c>
      <c r="Q56" s="9" t="n">
        <v>0.2217987964978303</v>
      </c>
      <c r="R56" s="9" t="n">
        <v>-0.2666666666666684</v>
      </c>
      <c r="S56" s="9" t="n">
        <v>0.0227411277760225</v>
      </c>
      <c r="T56" s="9" t="n">
        <v>18011126930.67416</v>
      </c>
      <c r="U56" s="9" t="n">
        <v>0.001953125</v>
      </c>
      <c r="V56" s="9" t="n">
        <v>3.059023205018097e-07</v>
      </c>
      <c r="W56" s="9" t="n">
        <v>-1.549193338482967</v>
      </c>
      <c r="X56" s="9" t="n">
        <v>5.320522872923015</v>
      </c>
      <c r="Y56" s="9" t="n">
        <v>146.520044563029</v>
      </c>
      <c r="Z56" s="9" t="n">
        <v>152.2577479638255</v>
      </c>
      <c r="AA56" s="9" t="n">
        <v>6.625329205960187</v>
      </c>
      <c r="AB56" s="9" t="n">
        <v>154.9901459753605</v>
      </c>
      <c r="AC56" s="9" t="n">
        <v>-8.357432929738119</v>
      </c>
      <c r="AD56" s="9" t="n">
        <v>415.682268518518</v>
      </c>
      <c r="AE56" s="9" t="n">
        <v>43535.17270833333</v>
      </c>
      <c r="AF56" s="9" t="n">
        <v>43535.17270833333</v>
      </c>
      <c r="AG56" s="9" t="n">
        <v>43535.17270833333</v>
      </c>
      <c r="AH56" s="8" t="inlineStr">
        <is>
          <t>Moderate (5.0-5.9)</t>
        </is>
      </c>
    </row>
    <row r="57">
      <c r="A57" s="8" t="inlineStr">
        <is>
          <t>2023-01-25 04:10:22.000</t>
        </is>
      </c>
      <c r="B57" s="8" t="n">
        <v>2023</v>
      </c>
      <c r="C57" s="9" t="n">
        <v>3.81</v>
      </c>
      <c r="D57" s="9" t="n">
        <v>128.63</v>
      </c>
      <c r="E57" s="8" t="n">
        <v>63</v>
      </c>
      <c r="F57" s="9" t="n">
        <v>5.1</v>
      </c>
      <c r="G57" s="9" t="n">
        <v>5</v>
      </c>
      <c r="H57" s="9" t="n">
        <v>5.1</v>
      </c>
      <c r="I57" s="9" t="n">
        <v>4.5</v>
      </c>
      <c r="J57" s="9" t="n">
        <v>0.6816017924566603</v>
      </c>
      <c r="K57" s="9" t="n">
        <v>3.356888827849052</v>
      </c>
      <c r="L57" s="9" t="n">
        <v>0.1755784318221734</v>
      </c>
      <c r="M57" s="9" t="n">
        <v>0.1445895748545031</v>
      </c>
      <c r="N57" s="9" t="n">
        <v>1.240841376866435</v>
      </c>
      <c r="O57" s="9" t="n">
        <v>5.936823312931977</v>
      </c>
      <c r="P57" s="9" t="n">
        <v>0.5818918198627564</v>
      </c>
      <c r="Q57" s="9" t="n">
        <v>0.1945217215537276</v>
      </c>
      <c r="R57" s="9" t="n">
        <v>0.1749999999999998</v>
      </c>
      <c r="S57" s="9" t="n">
        <v>0.3154856989661612</v>
      </c>
      <c r="T57" s="9" t="n">
        <v>42871458358.08554</v>
      </c>
      <c r="U57" s="9" t="n">
        <v>0.0090197525388054</v>
      </c>
      <c r="V57" s="9" t="n">
        <v>0.0001894418252328</v>
      </c>
      <c r="W57" s="9" t="n">
        <v>-2.5</v>
      </c>
      <c r="X57" s="9" t="n">
        <v>6.50052317917223</v>
      </c>
      <c r="Y57" s="9" t="n">
        <v>146.520044563029</v>
      </c>
      <c r="Z57" s="9" t="n">
        <v>151.8061428798084</v>
      </c>
      <c r="AA57" s="9" t="n">
        <v>5.825888436544441</v>
      </c>
      <c r="AB57" s="9" t="n">
        <v>151.2690645428728</v>
      </c>
      <c r="AC57" s="9" t="n">
        <v>-1.439465227140704</v>
      </c>
      <c r="AD57" s="9" t="n">
        <v>416.182268518518</v>
      </c>
      <c r="AE57" s="9" t="n">
        <v>43535.17270833333</v>
      </c>
      <c r="AF57" s="9" t="n">
        <v>43535.17270833333</v>
      </c>
      <c r="AG57" s="9" t="n">
        <v>43535.17270833333</v>
      </c>
      <c r="AH57" s="8" t="inlineStr">
        <is>
          <t>Moderate (5.0-5.9)</t>
        </is>
      </c>
    </row>
    <row r="58">
      <c r="A58" s="8" t="inlineStr">
        <is>
          <t>2023-01-29 19:57:01.000</t>
        </is>
      </c>
      <c r="B58" s="8" t="n">
        <v>2023</v>
      </c>
      <c r="C58" s="9" t="n">
        <v>2.09</v>
      </c>
      <c r="D58" s="9" t="n">
        <v>126.99</v>
      </c>
      <c r="E58" s="8" t="n">
        <v>2</v>
      </c>
      <c r="F58" s="9" t="n">
        <v>5.4</v>
      </c>
      <c r="G58" s="9" t="n">
        <v>49</v>
      </c>
      <c r="H58" s="9" t="n">
        <v>7</v>
      </c>
      <c r="I58" s="9" t="n">
        <v>4.689795918367347</v>
      </c>
      <c r="J58" s="9" t="n">
        <v>0.4325049292583937</v>
      </c>
      <c r="K58" s="9" t="n">
        <v>3.077909838199768</v>
      </c>
      <c r="L58" s="9" t="n">
        <v>0.0372438531790679</v>
      </c>
      <c r="M58" s="9" t="n">
        <v>0.1715154207636403</v>
      </c>
      <c r="N58" s="9" t="n">
        <v>0.7582919525294879</v>
      </c>
      <c r="O58" s="9" t="n">
        <v>4.83056566245785</v>
      </c>
      <c r="P58" s="9" t="n">
        <v>0.1144841534133485</v>
      </c>
      <c r="Q58" s="9" t="n">
        <v>0.2932382614390629</v>
      </c>
      <c r="R58" s="9" t="n">
        <v>-0.116473431822822</v>
      </c>
      <c r="S58" s="9" t="n">
        <v>0.6296756858038748</v>
      </c>
      <c r="T58" s="9" t="n">
        <v>2828766892896.9</v>
      </c>
      <c r="U58" s="9" t="n">
        <v>0.0504063455394006</v>
      </c>
      <c r="V58" s="9" t="n">
        <v>0.0053103621842628</v>
      </c>
      <c r="W58" s="9" t="n">
        <v>1.239994121523284</v>
      </c>
      <c r="X58" s="9" t="n">
        <v>35.04996433664377</v>
      </c>
      <c r="Y58" s="9" t="n">
        <v>253.831884506131</v>
      </c>
      <c r="Z58" s="9" t="n">
        <v>291.774686232998</v>
      </c>
      <c r="AA58" s="9" t="n">
        <v>24.66788362548847</v>
      </c>
      <c r="AB58" s="9" t="n">
        <v>254.5638634718256</v>
      </c>
      <c r="AC58" s="9" t="n">
        <v>0.8268514720092981</v>
      </c>
      <c r="AD58" s="9" t="n">
        <v>11.57697916666802</v>
      </c>
      <c r="AE58" s="9" t="n">
        <v>11.57697916666802</v>
      </c>
      <c r="AF58" s="9" t="n">
        <v>11.57697916666802</v>
      </c>
      <c r="AG58" s="9" t="n">
        <v>43535.17270833333</v>
      </c>
      <c r="AH58" s="8" t="inlineStr">
        <is>
          <t>Moderate (5.0-5.9)</t>
        </is>
      </c>
    </row>
    <row r="59">
      <c r="A59" s="8" t="inlineStr">
        <is>
          <t>2023-02-11 08:55:04.000</t>
        </is>
      </c>
      <c r="B59" s="8" t="n">
        <v>2023</v>
      </c>
      <c r="C59" s="9" t="n">
        <v>3.43</v>
      </c>
      <c r="D59" s="9" t="n">
        <v>126.53</v>
      </c>
      <c r="E59" s="8" t="n">
        <v>28</v>
      </c>
      <c r="F59" s="9" t="n">
        <v>6</v>
      </c>
      <c r="G59" s="9" t="n">
        <v>9</v>
      </c>
      <c r="H59" s="9" t="n">
        <v>4.8</v>
      </c>
      <c r="I59" s="9" t="n">
        <v>4.388888888888889</v>
      </c>
      <c r="J59" s="9" t="n">
        <v>0.7943385796621606</v>
      </c>
      <c r="K59" s="9" t="n">
        <v>4.156785954980046</v>
      </c>
      <c r="L59" s="9" t="n">
        <v>0.1575789942889975</v>
      </c>
      <c r="M59" s="9" t="n">
        <v>0.0423065409074339</v>
      </c>
      <c r="N59" s="9" t="n">
        <v>1.113575594623724</v>
      </c>
      <c r="O59" s="9" t="n">
        <v>5.48734506121803</v>
      </c>
      <c r="P59" s="9" t="n">
        <v>0.3096894572395438</v>
      </c>
      <c r="Q59" s="9" t="n">
        <v>0.1299031827944398</v>
      </c>
      <c r="R59" s="9" t="n">
        <v>-0.4330153179113685</v>
      </c>
      <c r="S59" s="9" t="n">
        <v>-0.1276807858492983</v>
      </c>
      <c r="T59" s="9" t="n">
        <v>38187925481.46432</v>
      </c>
      <c r="U59" s="9" t="n">
        <v>0.0041398467159613</v>
      </c>
      <c r="V59" s="9" t="n">
        <v>0.000456323900581</v>
      </c>
      <c r="W59" s="9" t="n">
        <v>2.333333333333334</v>
      </c>
      <c r="X59" s="9" t="n">
        <v>3.2011444987656</v>
      </c>
      <c r="Y59" s="9" t="n">
        <v>156.526426010351</v>
      </c>
      <c r="Z59" s="9" t="n">
        <v>256.6346981069564</v>
      </c>
      <c r="AA59" s="9" t="n">
        <v>42.90750846291538</v>
      </c>
      <c r="AB59" s="9" t="n">
        <v>279.9825630362901</v>
      </c>
      <c r="AC59" s="9" t="n">
        <v>-0.1906709507201705</v>
      </c>
      <c r="AD59" s="9" t="n">
        <v>24.11729166666919</v>
      </c>
      <c r="AE59" s="9" t="n">
        <v>24.11729166666919</v>
      </c>
      <c r="AF59" s="9" t="n">
        <v>24.11729166666919</v>
      </c>
      <c r="AG59" s="9" t="n">
        <v>5112.639016203706</v>
      </c>
      <c r="AH59" s="8" t="inlineStr">
        <is>
          <t>Strong (6.0-6.9)</t>
        </is>
      </c>
    </row>
    <row r="60">
      <c r="A60" s="8" t="inlineStr">
        <is>
          <t>2023-02-24 17:28:38.000</t>
        </is>
      </c>
      <c r="B60" s="8" t="n">
        <v>2023</v>
      </c>
      <c r="C60" s="9" t="n">
        <v>2.91</v>
      </c>
      <c r="D60" s="9" t="n">
        <v>126.05</v>
      </c>
      <c r="E60" s="8" t="n">
        <v>56</v>
      </c>
      <c r="F60" s="9" t="n">
        <v>5</v>
      </c>
      <c r="G60" s="9" t="n">
        <v>9</v>
      </c>
      <c r="H60" s="9" t="n">
        <v>6</v>
      </c>
      <c r="I60" s="9" t="n">
        <v>4.466666666666667</v>
      </c>
      <c r="J60" s="9" t="n">
        <v>0.3926585739777279</v>
      </c>
      <c r="K60" s="9" t="n">
        <v>2.16878833213353</v>
      </c>
      <c r="L60" s="9" t="n">
        <v>0.073344426336623</v>
      </c>
      <c r="M60" s="9" t="n">
        <v>0.1601377567142155</v>
      </c>
      <c r="N60" s="9" t="n">
        <v>0.8143021535685974</v>
      </c>
      <c r="O60" s="9" t="n">
        <v>4.198220295371753</v>
      </c>
      <c r="P60" s="9" t="n">
        <v>0.3154337163972931</v>
      </c>
      <c r="Q60" s="9" t="n">
        <v>0.2960822515925267</v>
      </c>
      <c r="R60" s="9" t="n">
        <v>0.4766561184105296</v>
      </c>
      <c r="S60" s="9" t="n">
        <v>0.8443949497450367</v>
      </c>
      <c r="T60" s="9" t="n">
        <v>252468125913.9936</v>
      </c>
      <c r="U60" s="9" t="n">
        <v>0.0663780176213076</v>
      </c>
      <c r="V60" s="9" t="n">
        <v>0.0036065631360157</v>
      </c>
      <c r="W60" s="9" t="n">
        <v>0.3061862178478974</v>
      </c>
      <c r="X60" s="9" t="n">
        <v>3.366510860828805</v>
      </c>
      <c r="Y60" s="9" t="n">
        <v>183.508749362784</v>
      </c>
      <c r="Z60" s="9" t="n">
        <v>230.6054999179725</v>
      </c>
      <c r="AA60" s="9" t="n">
        <v>46.37596982135108</v>
      </c>
      <c r="AB60" s="9" t="n">
        <v>231.9878678789075</v>
      </c>
      <c r="AC60" s="9" t="n">
        <v>3.301444601547271</v>
      </c>
      <c r="AD60" s="9" t="n">
        <v>13.35664351852029</v>
      </c>
      <c r="AE60" s="9" t="n">
        <v>22716.73410300926</v>
      </c>
      <c r="AF60" s="9" t="n">
        <v>43535.17270833333</v>
      </c>
      <c r="AG60" s="9" t="n">
        <v>43535.17270833333</v>
      </c>
      <c r="AH60" s="8" t="inlineStr">
        <is>
          <t>Moderate (5.0-5.9)</t>
        </is>
      </c>
    </row>
    <row r="61">
      <c r="A61" s="8" t="inlineStr">
        <is>
          <t>2023-02-25 03:28:00.000</t>
        </is>
      </c>
      <c r="B61" s="8" t="n">
        <v>2023</v>
      </c>
      <c r="C61" s="9" t="n">
        <v>2.91</v>
      </c>
      <c r="D61" s="9" t="n">
        <v>126.05</v>
      </c>
      <c r="E61" s="8" t="n">
        <v>56</v>
      </c>
      <c r="F61" s="9" t="n">
        <v>5</v>
      </c>
      <c r="G61" s="9" t="n">
        <v>10</v>
      </c>
      <c r="H61" s="9" t="n">
        <v>6</v>
      </c>
      <c r="I61" s="9" t="n">
        <v>4.52</v>
      </c>
      <c r="J61" s="9" t="n">
        <v>0.4988862036487405</v>
      </c>
      <c r="K61" s="9" t="n">
        <v>2.79598341663453</v>
      </c>
      <c r="L61" s="9" t="n">
        <v>0.1102104029528827</v>
      </c>
      <c r="M61" s="9" t="n">
        <v>0.1237997949161687</v>
      </c>
      <c r="N61" s="9" t="n">
        <v>0.7506324378574727</v>
      </c>
      <c r="O61" s="9" t="n">
        <v>3.997754279015642</v>
      </c>
      <c r="P61" s="9" t="n">
        <v>0.2495021305361546</v>
      </c>
      <c r="Q61" s="9" t="n">
        <v>0.1956540548124973</v>
      </c>
      <c r="R61" s="9" t="n">
        <v>0.395548731984686</v>
      </c>
      <c r="S61" s="9" t="n">
        <v>0.6741519851894262</v>
      </c>
      <c r="T61" s="9" t="n">
        <v>254440866612.5078</v>
      </c>
      <c r="U61" s="9" t="n">
        <v>0.0318670153130725</v>
      </c>
      <c r="V61" s="9" t="n">
        <v>0.0055988996860242</v>
      </c>
      <c r="W61" s="9" t="n">
        <v>0</v>
      </c>
      <c r="X61" s="9" t="n">
        <v>3.895773990400867</v>
      </c>
      <c r="Y61" s="9" t="n">
        <v>183.508749362784</v>
      </c>
      <c r="Z61" s="9" t="n">
        <v>233.1903335474172</v>
      </c>
      <c r="AA61" s="9" t="n">
        <v>44.48116637064705</v>
      </c>
      <c r="AB61" s="9" t="n">
        <v>232.7172928687246</v>
      </c>
      <c r="AC61" s="9" t="n">
        <v>3.191828726560325</v>
      </c>
      <c r="AD61" s="9" t="n">
        <v>13.77287037036876</v>
      </c>
      <c r="AE61" s="9" t="n">
        <v>22717.15032986111</v>
      </c>
      <c r="AF61" s="9" t="n">
        <v>43535.17270833333</v>
      </c>
      <c r="AG61" s="9" t="n">
        <v>43535.17270833333</v>
      </c>
      <c r="AH61" s="8" t="inlineStr">
        <is>
          <t>Moderate (5.0-5.9)</t>
        </is>
      </c>
    </row>
    <row r="62">
      <c r="A62" s="8" t="inlineStr">
        <is>
          <t>2023-03-07 06:02:29.000</t>
        </is>
      </c>
      <c r="B62" s="8" t="n">
        <v>2023</v>
      </c>
      <c r="C62" s="9" t="n">
        <v>7.47</v>
      </c>
      <c r="D62" s="9" t="n">
        <v>126.19</v>
      </c>
      <c r="E62" s="8" t="n">
        <v>2</v>
      </c>
      <c r="F62" s="9" t="n">
        <v>5.9</v>
      </c>
      <c r="G62" s="9" t="n">
        <v>3</v>
      </c>
      <c r="H62" s="9" t="n">
        <v>5.3</v>
      </c>
      <c r="I62" s="9" t="n">
        <v>4.800000000000001</v>
      </c>
      <c r="J62" s="9" t="n">
        <v>0.4045441856944011</v>
      </c>
      <c r="K62" s="9" t="n">
        <v>2.136945817412365</v>
      </c>
      <c r="L62" s="9" t="n">
        <v>0.120998499005906</v>
      </c>
      <c r="M62" s="9" t="n">
        <v>0.0805582976738525</v>
      </c>
      <c r="N62" s="9" t="n">
        <v>0.6681453567742331</v>
      </c>
      <c r="O62" s="9" t="n">
        <v>3.283331753171442</v>
      </c>
      <c r="P62" s="9" t="n">
        <v>0.3300577728964028</v>
      </c>
      <c r="Q62" s="9" t="n">
        <v>0.1664796144512664</v>
      </c>
      <c r="R62" s="9" t="n">
        <v>0.0176454563441765</v>
      </c>
      <c r="S62" s="9" t="n">
        <v>0.3859020123657277</v>
      </c>
      <c r="T62" s="9" t="n">
        <v>64531928206.19809</v>
      </c>
      <c r="U62" s="9" t="n">
        <v>0.0611459142486343</v>
      </c>
      <c r="V62" s="9" t="n">
        <v>0.009898375607203899</v>
      </c>
      <c r="W62" s="9" t="n">
        <v>-1</v>
      </c>
      <c r="X62" s="9" t="n">
        <v>3.106279908141709</v>
      </c>
      <c r="Y62" s="9" t="n">
        <v>2.93597877263602</v>
      </c>
      <c r="Z62" s="9" t="n">
        <v>4.585651758698524</v>
      </c>
      <c r="AA62" s="9" t="n">
        <v>2.378755685794885</v>
      </c>
      <c r="AB62" s="9" t="n">
        <v>6.485260680291677</v>
      </c>
      <c r="AC62" s="9" t="n">
        <v>18.6781107915305</v>
      </c>
      <c r="AD62" s="9" t="n">
        <v>33.80396990740701</v>
      </c>
      <c r="AE62" s="9" t="n">
        <v>8099.962060185186</v>
      </c>
      <c r="AF62" s="9" t="n">
        <v>8099.962060185186</v>
      </c>
      <c r="AG62" s="9" t="n">
        <v>43535.17270833333</v>
      </c>
      <c r="AH62" s="8" t="inlineStr">
        <is>
          <t>Moderate (5.0-5.9)</t>
        </is>
      </c>
    </row>
    <row r="63">
      <c r="A63" s="8" t="inlineStr">
        <is>
          <t>2023-03-07 08:47:43.000</t>
        </is>
      </c>
      <c r="B63" s="8" t="n">
        <v>2023</v>
      </c>
      <c r="C63" s="9" t="n">
        <v>7.51</v>
      </c>
      <c r="D63" s="9" t="n">
        <v>126.24</v>
      </c>
      <c r="E63" s="8" t="n">
        <v>11</v>
      </c>
      <c r="F63" s="9" t="n">
        <v>5.6</v>
      </c>
      <c r="G63" s="9" t="n">
        <v>4</v>
      </c>
      <c r="H63" s="9" t="n">
        <v>5.9</v>
      </c>
      <c r="I63" s="9" t="n">
        <v>5.075000000000001</v>
      </c>
      <c r="J63" s="9" t="n">
        <v>0.3909743956099298</v>
      </c>
      <c r="K63" s="9" t="n">
        <v>2.260311184331341</v>
      </c>
      <c r="L63" s="9" t="n">
        <v>0.1254366527314287</v>
      </c>
      <c r="M63" s="9" t="n">
        <v>0.0792068048321547</v>
      </c>
      <c r="N63" s="9" t="n">
        <v>0.4695075480035151</v>
      </c>
      <c r="O63" s="9" t="n">
        <v>2.573991692942726</v>
      </c>
      <c r="P63" s="9" t="n">
        <v>0.1808893422462671</v>
      </c>
      <c r="Q63" s="9" t="n">
        <v>0.1237344069678981</v>
      </c>
      <c r="R63" s="9" t="n">
        <v>0.1187744013129057</v>
      </c>
      <c r="S63" s="9" t="n">
        <v>0.4176777159640998</v>
      </c>
      <c r="T63" s="9" t="n">
        <v>214129185551.7214</v>
      </c>
      <c r="U63" s="9" t="n">
        <v>0.0671547618284829</v>
      </c>
      <c r="V63" s="9" t="n">
        <v>0.0390370828135298</v>
      </c>
      <c r="W63" s="9" t="n">
        <v>-1.333333333333333</v>
      </c>
      <c r="X63" s="9" t="n">
        <v>3.907598644188526</v>
      </c>
      <c r="Y63" s="9" t="n">
        <v>2.03466211059223</v>
      </c>
      <c r="Z63" s="9" t="n">
        <v>3.94790434667195</v>
      </c>
      <c r="AA63" s="9" t="n">
        <v>2.323619185951238</v>
      </c>
      <c r="AB63" s="9" t="n">
        <v>2.649641179653983</v>
      </c>
      <c r="AC63" s="9" t="n">
        <v>-1.573537692159502</v>
      </c>
      <c r="AD63" s="9" t="n">
        <v>33.9187152777813</v>
      </c>
      <c r="AE63" s="9" t="n">
        <v>8100.07680555556</v>
      </c>
      <c r="AF63" s="9" t="n">
        <v>8100.07680555556</v>
      </c>
      <c r="AG63" s="9" t="n">
        <v>37005.59137731481</v>
      </c>
      <c r="AH63" s="8" t="inlineStr">
        <is>
          <t>Moderate (5.0-5.9)</t>
        </is>
      </c>
    </row>
    <row r="64">
      <c r="A64" s="8" t="inlineStr">
        <is>
          <t>2023-05-07 11:36:21.000</t>
        </is>
      </c>
      <c r="B64" s="8" t="n">
        <v>2023</v>
      </c>
      <c r="C64" s="9" t="n">
        <v>17.6</v>
      </c>
      <c r="D64" s="9" t="n">
        <v>122.36</v>
      </c>
      <c r="E64" s="8" t="n">
        <v>28</v>
      </c>
      <c r="F64" s="9" t="n">
        <v>5.3</v>
      </c>
      <c r="G64" s="9" t="n">
        <v>4</v>
      </c>
      <c r="H64" s="9" t="n">
        <v>5.5</v>
      </c>
      <c r="I64" s="9" t="n">
        <v>4.75</v>
      </c>
      <c r="J64" s="9" t="n">
        <v>0.517120946085969</v>
      </c>
      <c r="K64" s="9" t="n">
        <v>2.699920519828575</v>
      </c>
      <c r="L64" s="9" t="n">
        <v>0.1617560442934301</v>
      </c>
      <c r="M64" s="9" t="n">
        <v>0.1132702384494601</v>
      </c>
      <c r="N64" s="9" t="n">
        <v>0.8685889638065036</v>
      </c>
      <c r="O64" s="9" t="n">
        <v>4.336992535695928</v>
      </c>
      <c r="P64" s="9" t="n">
        <v>0.4563571645634918</v>
      </c>
      <c r="Q64" s="9" t="n">
        <v>0.1922585614240108</v>
      </c>
      <c r="R64" s="9" t="n">
        <v>0.2789380022913912</v>
      </c>
      <c r="S64" s="9" t="n">
        <v>0.5068528194400548</v>
      </c>
      <c r="T64" s="9" t="n">
        <v>91719856771.15202</v>
      </c>
      <c r="U64" s="9" t="n">
        <v>0.0280955256404638</v>
      </c>
      <c r="V64" s="9" t="n">
        <v>0.0024787521766663</v>
      </c>
      <c r="W64" s="9" t="n">
        <v>-1.333333333333333</v>
      </c>
      <c r="X64" s="9" t="n">
        <v>8.867725110565202</v>
      </c>
      <c r="Y64" s="9" t="n">
        <v>23.8343419242724</v>
      </c>
      <c r="Z64" s="9" t="n">
        <v>25.75068977002775</v>
      </c>
      <c r="AA64" s="9" t="n">
        <v>1.670186126189185</v>
      </c>
      <c r="AB64" s="9" t="n">
        <v>27.09685664396433</v>
      </c>
      <c r="AC64" s="9" t="n">
        <v>1.68224360309882</v>
      </c>
      <c r="AD64" s="9" t="n">
        <v>4814.364596064814</v>
      </c>
      <c r="AE64" s="9" t="n">
        <v>16725.91007175926</v>
      </c>
      <c r="AF64" s="9" t="n">
        <v>26792.35591435185</v>
      </c>
      <c r="AG64" s="9" t="n">
        <v>43535.17270833333</v>
      </c>
      <c r="AH64" s="8" t="inlineStr">
        <is>
          <t>Moderate (5.0-5.9)</t>
        </is>
      </c>
    </row>
    <row r="65">
      <c r="A65" s="8" t="inlineStr">
        <is>
          <t>2023-05-13 14:37:42.000</t>
        </is>
      </c>
      <c r="B65" s="8" t="n">
        <v>2023</v>
      </c>
      <c r="C65" s="9" t="n">
        <v>10.14</v>
      </c>
      <c r="D65" s="9" t="n">
        <v>126.22</v>
      </c>
      <c r="E65" s="8" t="n">
        <v>26</v>
      </c>
      <c r="F65" s="9" t="n">
        <v>5</v>
      </c>
      <c r="G65" s="9" t="n">
        <v>3</v>
      </c>
      <c r="H65" s="9" t="n">
        <v>4.4</v>
      </c>
      <c r="I65" s="9" t="n">
        <v>4.3</v>
      </c>
      <c r="J65" s="9" t="n">
        <v>2.385606273598328</v>
      </c>
      <c r="K65" s="9" t="n">
        <v>10.5174907266007</v>
      </c>
      <c r="L65" s="9" t="n">
        <v>0.7557266632048494</v>
      </c>
      <c r="M65" s="9" t="n">
        <v>0.0360667066065058</v>
      </c>
      <c r="N65" s="9" t="n">
        <v>2.895296546021689</v>
      </c>
      <c r="O65" s="9" t="n">
        <v>12.63736674801076</v>
      </c>
      <c r="P65" s="9" t="n">
        <v>1.113149032429009</v>
      </c>
      <c r="Q65" s="9" t="n">
        <v>0.1078416351329162</v>
      </c>
      <c r="R65" s="9" t="n">
        <v>-0.0087286502380967</v>
      </c>
      <c r="S65" s="9" t="n">
        <v>0.0352081566997846</v>
      </c>
      <c r="T65" s="9" t="n">
        <v>13207508090.97011</v>
      </c>
      <c r="U65" s="9" t="n">
        <v>6.969171937624866e-08</v>
      </c>
      <c r="V65" s="9" t="n">
        <v>2.061153622438413e-09</v>
      </c>
      <c r="W65" s="9" t="n">
        <v>-0.6123724356957945</v>
      </c>
      <c r="X65" s="9" t="n">
        <v>1.302863809209866</v>
      </c>
      <c r="Y65" s="9" t="n">
        <v>9.59342102658966</v>
      </c>
      <c r="Z65" s="9" t="n">
        <v>37.84589884515152</v>
      </c>
      <c r="AA65" s="9" t="n">
        <v>25.67646588830132</v>
      </c>
      <c r="AB65" s="9" t="n">
        <v>40.14946979427145</v>
      </c>
      <c r="AC65" s="9" t="n">
        <v>6.054367341824867</v>
      </c>
      <c r="AD65" s="9" t="n">
        <v>1526.980196759258</v>
      </c>
      <c r="AE65" s="9" t="n">
        <v>2283.023610532407</v>
      </c>
      <c r="AF65" s="9" t="n">
        <v>25987.15318287037</v>
      </c>
      <c r="AG65" s="9" t="n">
        <v>25987.15318287037</v>
      </c>
      <c r="AH65" s="8" t="inlineStr">
        <is>
          <t>Moderate (5.0-5.9)</t>
        </is>
      </c>
    </row>
    <row r="66">
      <c r="A66" s="8" t="inlineStr">
        <is>
          <t>2023-05-24 00:44:04.000</t>
        </is>
      </c>
      <c r="B66" s="8" t="n">
        <v>2023</v>
      </c>
      <c r="C66" s="9" t="n">
        <v>5.7</v>
      </c>
      <c r="D66" s="9" t="n">
        <v>124.26</v>
      </c>
      <c r="E66" s="8" t="n">
        <v>1</v>
      </c>
      <c r="F66" s="9" t="n">
        <v>5.2</v>
      </c>
      <c r="G66" s="9" t="n">
        <v>4</v>
      </c>
      <c r="H66" s="9" t="n">
        <v>4.9</v>
      </c>
      <c r="I66" s="9" t="n">
        <v>4.7</v>
      </c>
      <c r="J66" s="9" t="n">
        <v>1.3802112417116</v>
      </c>
      <c r="K66" s="9" t="n">
        <v>6.823241083519633</v>
      </c>
      <c r="L66" s="9" t="n">
        <v>0.3999708433568535</v>
      </c>
      <c r="M66" s="9" t="n">
        <v>0.062342430608807</v>
      </c>
      <c r="N66" s="9" t="n">
        <v>1.737177927613007</v>
      </c>
      <c r="O66" s="9" t="n">
        <v>8.419360665586495</v>
      </c>
      <c r="P66" s="9" t="n">
        <v>0.63361553718389</v>
      </c>
      <c r="Q66" s="9" t="n">
        <v>0.1240978381619177</v>
      </c>
      <c r="R66" s="9" t="n">
        <v>-0.0436208583971042</v>
      </c>
      <c r="S66" s="9" t="n">
        <v>0.0534264097200276</v>
      </c>
      <c r="T66" s="9" t="n">
        <v>37598509188.84291</v>
      </c>
      <c r="U66" s="9" t="n">
        <v>7.233796296296605e-05</v>
      </c>
      <c r="V66" s="9" t="n">
        <v>6.144212353328218e-06</v>
      </c>
      <c r="W66" s="9" t="n">
        <v>-0.9999999999999998</v>
      </c>
      <c r="X66" s="9" t="n">
        <v>6.798722616979547</v>
      </c>
      <c r="Y66" s="9" t="n">
        <v>34.086008213448</v>
      </c>
      <c r="Z66" s="9" t="n">
        <v>41.33355920841455</v>
      </c>
      <c r="AA66" s="9" t="n">
        <v>4.890182869855499</v>
      </c>
      <c r="AB66" s="9" t="n">
        <v>39.74233621082287</v>
      </c>
      <c r="AC66" s="9" t="n">
        <v>108.2662380538248</v>
      </c>
      <c r="AD66" s="9" t="n">
        <v>1153.879189814819</v>
      </c>
      <c r="AE66" s="9" t="n">
        <v>2216.181096412038</v>
      </c>
      <c r="AF66" s="9" t="n">
        <v>2216.181096412038</v>
      </c>
      <c r="AG66" s="9" t="n">
        <v>17081.35625115741</v>
      </c>
      <c r="AH66" s="8" t="inlineStr">
        <is>
          <t>Moderate (5.0-5.9)</t>
        </is>
      </c>
    </row>
    <row r="67">
      <c r="A67" s="8" t="inlineStr">
        <is>
          <t>2023-12-02 18:09:16.000</t>
        </is>
      </c>
      <c r="B67" s="8" t="n">
        <v>2023</v>
      </c>
      <c r="C67" s="9" t="n">
        <v>8.51</v>
      </c>
      <c r="D67" s="9" t="n">
        <v>127.43</v>
      </c>
      <c r="E67" s="8" t="n">
        <v>2</v>
      </c>
      <c r="F67" s="9" t="n">
        <v>6.3</v>
      </c>
      <c r="G67" s="9" t="n">
        <v>7</v>
      </c>
      <c r="H67" s="9" t="n">
        <v>7.4</v>
      </c>
      <c r="I67" s="9" t="n">
        <v>5.814285714285715</v>
      </c>
      <c r="J67" s="9" t="n">
        <v>0.3564755427215142</v>
      </c>
      <c r="K67" s="9" t="n">
        <v>2.537979853585434</v>
      </c>
      <c r="L67" s="9" t="n">
        <v>0.1090655434611923</v>
      </c>
      <c r="M67" s="9" t="n">
        <v>0.101452976135817</v>
      </c>
      <c r="N67" s="9" t="n">
        <v>0.2686357620020115</v>
      </c>
      <c r="O67" s="9" t="n">
        <v>1.987012179392696</v>
      </c>
      <c r="P67" s="9" t="n">
        <v>0.0619377956417585</v>
      </c>
      <c r="Q67" s="9" t="n">
        <v>0.1246302783725124</v>
      </c>
      <c r="R67" s="9" t="n">
        <v>0.2803534901462967</v>
      </c>
      <c r="S67" s="9" t="n">
        <v>0.0033221914146457</v>
      </c>
      <c r="T67" s="9" t="n">
        <v>4622855224280.262</v>
      </c>
      <c r="U67" s="9" t="n">
        <v>0.0852262484612724</v>
      </c>
      <c r="V67" s="9" t="n">
        <v>0.1563481381930185</v>
      </c>
      <c r="W67" s="9" t="n">
        <v>-1</v>
      </c>
      <c r="X67" s="9" t="n">
        <v>6.833987119784463</v>
      </c>
      <c r="Y67" s="9" t="n">
        <v>2.61086342623079</v>
      </c>
      <c r="Z67" s="9" t="n">
        <v>13.31908673819691</v>
      </c>
      <c r="AA67" s="9" t="n">
        <v>6.958574546154332</v>
      </c>
      <c r="AB67" s="9" t="n">
        <v>8.726909210589911</v>
      </c>
      <c r="AC67" s="9" t="n">
        <v>62.13217147042221</v>
      </c>
      <c r="AD67" s="9" t="n">
        <v>0.0202083333351765</v>
      </c>
      <c r="AE67" s="9" t="n">
        <v>0.1473611111141508</v>
      </c>
      <c r="AF67" s="9" t="n">
        <v>0.1473611111141508</v>
      </c>
      <c r="AG67" s="9" t="n">
        <v>37275.98134259259</v>
      </c>
      <c r="AH67" s="8" t="inlineStr">
        <is>
          <t>Strong (6.0-6.9)</t>
        </is>
      </c>
    </row>
    <row r="68">
      <c r="A68" s="8" t="inlineStr">
        <is>
          <t>2023-12-02 19:49:36.000</t>
        </is>
      </c>
      <c r="B68" s="8" t="n">
        <v>2023</v>
      </c>
      <c r="C68" s="9" t="n">
        <v>8.960000000000001</v>
      </c>
      <c r="D68" s="9" t="n">
        <v>126.91</v>
      </c>
      <c r="E68" s="8" t="n">
        <v>1</v>
      </c>
      <c r="F68" s="9" t="n">
        <v>6.8</v>
      </c>
      <c r="G68" s="9" t="n">
        <v>11</v>
      </c>
      <c r="H68" s="9" t="n">
        <v>7.4</v>
      </c>
      <c r="I68" s="9" t="n">
        <v>5.581818181818182</v>
      </c>
      <c r="J68" s="9" t="n">
        <v>0.4133535766748711</v>
      </c>
      <c r="K68" s="9" t="n">
        <v>2.955483258811924</v>
      </c>
      <c r="L68" s="9" t="n">
        <v>0.1132560945043496</v>
      </c>
      <c r="M68" s="9" t="n">
        <v>0.1199801549755976</v>
      </c>
      <c r="N68" s="9" t="n">
        <v>0.2842654790639466</v>
      </c>
      <c r="O68" s="9" t="n">
        <v>2.20501061732069</v>
      </c>
      <c r="P68" s="9" t="n">
        <v>0.0535631891376717</v>
      </c>
      <c r="Q68" s="9" t="n">
        <v>0.1629980919432821</v>
      </c>
      <c r="R68" s="9" t="n">
        <v>0.2499874548403884</v>
      </c>
      <c r="S68" s="9" t="n">
        <v>-0.3568708820414459</v>
      </c>
      <c r="T68" s="9" t="n">
        <v>4646815443129.668</v>
      </c>
      <c r="U68" s="9" t="n">
        <v>0.0575359475715517</v>
      </c>
      <c r="V68" s="9" t="n">
        <v>0.1403471386488596</v>
      </c>
      <c r="W68" s="9" t="n">
        <v>-1</v>
      </c>
      <c r="X68" s="9" t="n">
        <v>7.424795294314105</v>
      </c>
      <c r="Y68" s="9" t="n">
        <v>2.61086342623079</v>
      </c>
      <c r="Z68" s="9" t="n">
        <v>14.87962196446067</v>
      </c>
      <c r="AA68" s="9" t="n">
        <v>8.615825275180661</v>
      </c>
      <c r="AB68" s="9" t="n">
        <v>9.210346145475691</v>
      </c>
      <c r="AC68" s="9" t="n">
        <v>29.66680382553305</v>
      </c>
      <c r="AD68" s="9" t="n">
        <v>0.0696759259299142</v>
      </c>
      <c r="AE68" s="9" t="n">
        <v>0.217037037044065</v>
      </c>
      <c r="AF68" s="9" t="n">
        <v>0.217037037044065</v>
      </c>
      <c r="AG68" s="9" t="n">
        <v>26190.36978009259</v>
      </c>
      <c r="AH68" s="8" t="inlineStr">
        <is>
          <t>Strong (6.0-6.9)</t>
        </is>
      </c>
    </row>
    <row r="69">
      <c r="A69" s="8" t="inlineStr">
        <is>
          <t>2023-12-03 02:02:28.000</t>
        </is>
      </c>
      <c r="B69" s="8" t="n">
        <v>2023</v>
      </c>
      <c r="C69" s="9" t="n">
        <v>8.68</v>
      </c>
      <c r="D69" s="9" t="n">
        <v>127.4</v>
      </c>
      <c r="E69" s="8" t="n">
        <v>4</v>
      </c>
      <c r="F69" s="9" t="n">
        <v>5.4</v>
      </c>
      <c r="G69" s="9" t="n">
        <v>21</v>
      </c>
      <c r="H69" s="9" t="n">
        <v>7.4</v>
      </c>
      <c r="I69" s="9" t="n">
        <v>5.228571428571429</v>
      </c>
      <c r="J69" s="9" t="n">
        <v>0.4352237580674566</v>
      </c>
      <c r="K69" s="9" t="n">
        <v>3.218305370788898</v>
      </c>
      <c r="L69" s="9" t="n">
        <v>0.094265264865356</v>
      </c>
      <c r="M69" s="9" t="n">
        <v>0.1012495591198309</v>
      </c>
      <c r="N69" s="9" t="n">
        <v>0.3384112845999365</v>
      </c>
      <c r="O69" s="9" t="n">
        <v>2.67659990042304</v>
      </c>
      <c r="P69" s="9" t="n">
        <v>0.0569922989437249</v>
      </c>
      <c r="Q69" s="9" t="n">
        <v>0.1353176057999274</v>
      </c>
      <c r="R69" s="9" t="n">
        <v>0.0054005298808093</v>
      </c>
      <c r="S69" s="9" t="n">
        <v>-0.5093104226334111</v>
      </c>
      <c r="T69" s="9" t="n">
        <v>4836970147070.973</v>
      </c>
      <c r="U69" s="9" t="n">
        <v>0.0494684981835275</v>
      </c>
      <c r="V69" s="9" t="n">
        <v>0.096553083126817</v>
      </c>
      <c r="W69" s="9" t="n">
        <v>-1</v>
      </c>
      <c r="X69" s="9" t="n">
        <v>16.26181864251751</v>
      </c>
      <c r="Y69" s="9" t="n">
        <v>2.61086342623079</v>
      </c>
      <c r="Z69" s="9" t="n">
        <v>16.74184659295405</v>
      </c>
      <c r="AA69" s="9" t="n">
        <v>7.420363546897812</v>
      </c>
      <c r="AB69" s="9" t="n">
        <v>11.15478403920142</v>
      </c>
      <c r="AC69" s="9" t="n">
        <v>12.99435033147773</v>
      </c>
      <c r="AD69" s="9" t="n">
        <v>0.2154513888890505</v>
      </c>
      <c r="AE69" s="9" t="n">
        <v>0.2589351851784158</v>
      </c>
      <c r="AF69" s="9" t="n">
        <v>0.4759722222224809</v>
      </c>
      <c r="AG69" s="9" t="n">
        <v>37276.3099537037</v>
      </c>
      <c r="AH69" s="8" t="inlineStr">
        <is>
          <t>Moderate (5.0-5.9)</t>
        </is>
      </c>
    </row>
    <row r="70">
      <c r="A70" s="8" t="inlineStr">
        <is>
          <t>2023-12-03 10:35:50.000</t>
        </is>
      </c>
      <c r="B70" s="8" t="n">
        <v>2023</v>
      </c>
      <c r="C70" s="9" t="n">
        <v>8.49</v>
      </c>
      <c r="D70" s="9" t="n">
        <v>126.95</v>
      </c>
      <c r="E70" s="8" t="n">
        <v>1</v>
      </c>
      <c r="F70" s="9" t="n">
        <v>6.6</v>
      </c>
      <c r="G70" s="9" t="n">
        <v>32</v>
      </c>
      <c r="H70" s="9" t="n">
        <v>7.4</v>
      </c>
      <c r="I70" s="9" t="n">
        <v>5.025</v>
      </c>
      <c r="J70" s="9" t="n">
        <v>0.4938426715305093</v>
      </c>
      <c r="K70" s="9" t="n">
        <v>3.607977378737969</v>
      </c>
      <c r="L70" s="9" t="n">
        <v>0.0886543148290537</v>
      </c>
      <c r="M70" s="9" t="n">
        <v>0.08222789242012241</v>
      </c>
      <c r="N70" s="9" t="n">
        <v>0.4092827578145833</v>
      </c>
      <c r="O70" s="9" t="n">
        <v>3.150351346980237</v>
      </c>
      <c r="P70" s="9" t="n">
        <v>0.0608933054391916</v>
      </c>
      <c r="Q70" s="9" t="n">
        <v>0.1171413222254262</v>
      </c>
      <c r="R70" s="9" t="n">
        <v>0.0940752860497369</v>
      </c>
      <c r="S70" s="9" t="n">
        <v>-0.2972491189268123</v>
      </c>
      <c r="T70" s="9" t="n">
        <v>4838411123175.121</v>
      </c>
      <c r="U70" s="9" t="n">
        <v>0.0329968122306943</v>
      </c>
      <c r="V70" s="9" t="n">
        <v>0.0591768340209716</v>
      </c>
      <c r="W70" s="9" t="n">
        <v>-0.9999999999999998</v>
      </c>
      <c r="X70" s="9" t="n">
        <v>20.56144903764257</v>
      </c>
      <c r="Y70" s="9" t="n">
        <v>2.21413531049872</v>
      </c>
      <c r="Z70" s="9" t="n">
        <v>17.44399111705763</v>
      </c>
      <c r="AA70" s="9" t="n">
        <v>8.519687404551567</v>
      </c>
      <c r="AB70" s="9" t="n">
        <v>11.18672329761653</v>
      </c>
      <c r="AC70" s="9" t="n">
        <v>4.743540875530129</v>
      </c>
      <c r="AD70" s="9" t="n">
        <v>0.5719560185243608</v>
      </c>
      <c r="AE70" s="9" t="n">
        <v>0.6154398148137261</v>
      </c>
      <c r="AF70" s="9" t="n">
        <v>0.8324768518577912</v>
      </c>
      <c r="AG70" s="9" t="n">
        <v>37276.66645833333</v>
      </c>
      <c r="AH70" s="8" t="inlineStr">
        <is>
          <t>Strong (6.0-6.9)</t>
        </is>
      </c>
    </row>
    <row r="71">
      <c r="A71" s="8" t="inlineStr">
        <is>
          <t>2023-12-03 14:35:51.000</t>
        </is>
      </c>
      <c r="B71" s="8" t="n">
        <v>2023</v>
      </c>
      <c r="C71" s="9" t="n">
        <v>8.76</v>
      </c>
      <c r="D71" s="9" t="n">
        <v>127.46</v>
      </c>
      <c r="E71" s="8" t="n">
        <v>7</v>
      </c>
      <c r="F71" s="9" t="n">
        <v>5.9</v>
      </c>
      <c r="G71" s="9" t="n">
        <v>36</v>
      </c>
      <c r="H71" s="9" t="n">
        <v>6.8</v>
      </c>
      <c r="I71" s="9" t="n">
        <v>4.936111111111111</v>
      </c>
      <c r="J71" s="9" t="n">
        <v>0.5120608347511116</v>
      </c>
      <c r="K71" s="9" t="n">
        <v>3.716290910278304</v>
      </c>
      <c r="L71" s="9" t="n">
        <v>0.0833414534287006</v>
      </c>
      <c r="M71" s="9" t="n">
        <v>0.1049812000138497</v>
      </c>
      <c r="N71" s="9" t="n">
        <v>0.4320596904011774</v>
      </c>
      <c r="O71" s="9" t="n">
        <v>3.277048697583901</v>
      </c>
      <c r="P71" s="9" t="n">
        <v>0.0593342490974051</v>
      </c>
      <c r="Q71" s="9" t="n">
        <v>0.1182698344000628</v>
      </c>
      <c r="R71" s="9" t="n">
        <v>-0.4575183612404485</v>
      </c>
      <c r="S71" s="9" t="n">
        <v>-0.784712877382951</v>
      </c>
      <c r="T71" s="9" t="n">
        <v>1811397991337.791</v>
      </c>
      <c r="U71" s="9" t="n">
        <v>0.0290949419980555</v>
      </c>
      <c r="V71" s="9" t="n">
        <v>0.0505616139990176</v>
      </c>
      <c r="W71" s="9" t="n">
        <v>-1</v>
      </c>
      <c r="X71" s="9" t="n">
        <v>24.29383744130391</v>
      </c>
      <c r="Y71" s="9" t="n">
        <v>2.21413531049872</v>
      </c>
      <c r="Z71" s="9" t="n">
        <v>18.16612916947048</v>
      </c>
      <c r="AA71" s="9" t="n">
        <v>8.054635632933975</v>
      </c>
      <c r="AB71" s="9" t="n">
        <v>24.58768725859141</v>
      </c>
      <c r="AC71" s="9" t="n">
        <v>3.961189635218618</v>
      </c>
      <c r="AD71" s="9" t="n">
        <v>0.166678240741021</v>
      </c>
      <c r="AE71" s="9" t="n">
        <v>0.166678240741021</v>
      </c>
      <c r="AF71" s="9" t="n">
        <v>37276.83313657408</v>
      </c>
      <c r="AG71" s="9" t="n">
        <v>37276.83313657408</v>
      </c>
      <c r="AH71" s="8" t="inlineStr">
        <is>
          <t>Moderate (5.0-5.9)</t>
        </is>
      </c>
    </row>
    <row r="72">
      <c r="A72" s="8" t="inlineStr">
        <is>
          <t>2023-12-03 19:49:33.000</t>
        </is>
      </c>
      <c r="B72" s="8" t="n">
        <v>2023</v>
      </c>
      <c r="C72" s="9" t="n">
        <v>8.960000000000001</v>
      </c>
      <c r="D72" s="9" t="n">
        <v>126.91</v>
      </c>
      <c r="E72" s="8" t="n">
        <v>1</v>
      </c>
      <c r="F72" s="9" t="n">
        <v>6.8</v>
      </c>
      <c r="G72" s="9" t="n">
        <v>48</v>
      </c>
      <c r="H72" s="9" t="n">
        <v>7.4</v>
      </c>
      <c r="I72" s="9" t="n">
        <v>4.960416666666666</v>
      </c>
      <c r="J72" s="9" t="n">
        <v>0.5498105701816094</v>
      </c>
      <c r="K72" s="9" t="n">
        <v>4.034210669406883</v>
      </c>
      <c r="L72" s="9" t="n">
        <v>0.08380200861237661</v>
      </c>
      <c r="M72" s="9" t="n">
        <v>0.0915288822832025</v>
      </c>
      <c r="N72" s="9" t="n">
        <v>0.4479515410825992</v>
      </c>
      <c r="O72" s="9" t="n">
        <v>3.494180329266652</v>
      </c>
      <c r="P72" s="9" t="n">
        <v>0.0556276006637785</v>
      </c>
      <c r="Q72" s="9" t="n">
        <v>0.1398041983418898</v>
      </c>
      <c r="R72" s="9" t="n">
        <v>0.0625443594612384</v>
      </c>
      <c r="S72" s="9" t="n">
        <v>-0.4003534061340543</v>
      </c>
      <c r="T72" s="9" t="n">
        <v>4921714146007.603</v>
      </c>
      <c r="U72" s="9" t="n">
        <v>0.022416525006247</v>
      </c>
      <c r="V72" s="9" t="n">
        <v>0.0453049209277395</v>
      </c>
      <c r="W72" s="9" t="n">
        <v>-1.30430288101143</v>
      </c>
      <c r="X72" s="9" t="n">
        <v>26.15659924699088</v>
      </c>
      <c r="Y72" s="9" t="n">
        <v>2.21413531049872</v>
      </c>
      <c r="Z72" s="9" t="n">
        <v>19.33800140390463</v>
      </c>
      <c r="AA72" s="9" t="n">
        <v>9.35073571037621</v>
      </c>
      <c r="AB72" s="9" t="n">
        <v>11.82858716633864</v>
      </c>
      <c r="AC72" s="9" t="n">
        <v>7.438338391500652</v>
      </c>
      <c r="AD72" s="9" t="n">
        <v>0.3845254629632109</v>
      </c>
      <c r="AE72" s="9" t="n">
        <v>0.3845254629632109</v>
      </c>
      <c r="AF72" s="9" t="n">
        <v>1.217002314821002</v>
      </c>
      <c r="AG72" s="9" t="n">
        <v>26191.36974537037</v>
      </c>
      <c r="AH72" s="8" t="inlineStr">
        <is>
          <t>Strong (6.0-6.9)</t>
        </is>
      </c>
    </row>
    <row r="73">
      <c r="A73" s="8" t="inlineStr">
        <is>
          <t>2023-12-05 13:36:33.000</t>
        </is>
      </c>
      <c r="B73" s="8" t="n">
        <v>2023</v>
      </c>
      <c r="C73" s="9" t="n">
        <v>9.07</v>
      </c>
      <c r="D73" s="9" t="n">
        <v>127.02</v>
      </c>
      <c r="E73" s="8" t="n">
        <v>1</v>
      </c>
      <c r="F73" s="9" t="n">
        <v>5.8</v>
      </c>
      <c r="G73" s="9" t="n">
        <v>89</v>
      </c>
      <c r="H73" s="9" t="n">
        <v>7.4</v>
      </c>
      <c r="I73" s="9" t="n">
        <v>4.851685393258427</v>
      </c>
      <c r="J73" s="9" t="n">
        <v>0.6322017269973417</v>
      </c>
      <c r="K73" s="9" t="n">
        <v>4.652013169749081</v>
      </c>
      <c r="L73" s="9" t="n">
        <v>0.0739195538093647</v>
      </c>
      <c r="M73" s="9" t="n">
        <v>0.1008011725049705</v>
      </c>
      <c r="N73" s="9" t="n">
        <v>0.4942088414487514</v>
      </c>
      <c r="O73" s="9" t="n">
        <v>3.938999994205212</v>
      </c>
      <c r="P73" s="9" t="n">
        <v>0.0451719670225921</v>
      </c>
      <c r="Q73" s="9" t="n">
        <v>0.1836642805923244</v>
      </c>
      <c r="R73" s="9" t="n">
        <v>0.0415683932976005</v>
      </c>
      <c r="S73" s="9" t="n">
        <v>-0.5703147006803979</v>
      </c>
      <c r="T73" s="9" t="n">
        <v>5105300362856.305</v>
      </c>
      <c r="U73" s="9" t="n">
        <v>0.012688048176962</v>
      </c>
      <c r="V73" s="9" t="n">
        <v>0.0329134551583872</v>
      </c>
      <c r="W73" s="9" t="n">
        <v>-2.064193051340074</v>
      </c>
      <c r="X73" s="9" t="n">
        <v>40.49087885088692</v>
      </c>
      <c r="Y73" s="9" t="n">
        <v>2.21413531049872</v>
      </c>
      <c r="Z73" s="9" t="n">
        <v>19.17518197376972</v>
      </c>
      <c r="AA73" s="9" t="n">
        <v>10.60284269014561</v>
      </c>
      <c r="AB73" s="9" t="n">
        <v>13.32403379739049</v>
      </c>
      <c r="AC73" s="9" t="n">
        <v>-0.1160313011399869</v>
      </c>
      <c r="AD73" s="9" t="n">
        <v>1.740972222221899</v>
      </c>
      <c r="AE73" s="9" t="n">
        <v>1.740972222221899</v>
      </c>
      <c r="AF73" s="9" t="n">
        <v>2.957974537042901</v>
      </c>
      <c r="AG73" s="9" t="n">
        <v>26193.1107175926</v>
      </c>
      <c r="AH73" s="8" t="inlineStr">
        <is>
          <t>Moderate (5.0-5.9)</t>
        </is>
      </c>
    </row>
    <row r="74">
      <c r="A74" s="8" t="inlineStr">
        <is>
          <t>2023-12-10 22:52:55.000</t>
        </is>
      </c>
      <c r="B74" s="8" t="n">
        <v>2023</v>
      </c>
      <c r="C74" s="9" t="n">
        <v>8.800000000000001</v>
      </c>
      <c r="D74" s="9" t="n">
        <v>127.48</v>
      </c>
      <c r="E74" s="8" t="n">
        <v>26</v>
      </c>
      <c r="F74" s="9" t="n">
        <v>5.2</v>
      </c>
      <c r="G74" s="9" t="n">
        <v>147</v>
      </c>
      <c r="H74" s="9" t="n">
        <v>6.8</v>
      </c>
      <c r="I74" s="9" t="n">
        <v>4.657823129251701</v>
      </c>
      <c r="J74" s="9" t="n">
        <v>0.6891143975759126</v>
      </c>
      <c r="K74" s="9" t="n">
        <v>4.9988883480098</v>
      </c>
      <c r="L74" s="9" t="n">
        <v>0.0566019946476398</v>
      </c>
      <c r="M74" s="9" t="n">
        <v>0.0325423786000054</v>
      </c>
      <c r="N74" s="9" t="n">
        <v>0.6407166827309049</v>
      </c>
      <c r="O74" s="9" t="n">
        <v>4.751707907823413</v>
      </c>
      <c r="P74" s="9" t="n">
        <v>0.0489306689119553</v>
      </c>
      <c r="Q74" s="9" t="n">
        <v>0.0521797484352649</v>
      </c>
      <c r="R74" s="9" t="n">
        <v>-0.4540761963388284</v>
      </c>
      <c r="S74" s="9" t="n">
        <v>-0.6162387774427378</v>
      </c>
      <c r="T74" s="9" t="n">
        <v>2282776486632.787</v>
      </c>
      <c r="U74" s="9" t="n">
        <v>0.0085636085534487</v>
      </c>
      <c r="V74" s="9" t="n">
        <v>0.0119632713039027</v>
      </c>
      <c r="W74" s="9" t="n">
        <v>-1.466949472842654</v>
      </c>
      <c r="X74" s="9" t="n">
        <v>57.40154071307165</v>
      </c>
      <c r="Y74" s="9" t="n">
        <v>2.21413531049872</v>
      </c>
      <c r="Z74" s="9" t="n">
        <v>20.86251742617283</v>
      </c>
      <c r="AA74" s="9" t="n">
        <v>12.47783696400453</v>
      </c>
      <c r="AB74" s="9" t="n">
        <v>25.34805186102362</v>
      </c>
      <c r="AC74" s="9" t="n">
        <v>0.6143035276366257</v>
      </c>
      <c r="AD74" s="9" t="n">
        <v>7.127337962963793</v>
      </c>
      <c r="AE74" s="9" t="n">
        <v>7.127337962963793</v>
      </c>
      <c r="AF74" s="9" t="n">
        <v>43535.17270833333</v>
      </c>
      <c r="AG74" s="9" t="n">
        <v>43535.17270833333</v>
      </c>
      <c r="AH74" s="8" t="inlineStr">
        <is>
          <t>Moderate (5.0-5.9)</t>
        </is>
      </c>
    </row>
    <row r="75">
      <c r="A75" s="8" t="inlineStr">
        <is>
          <t>2023-12-15 16:05:27.000</t>
        </is>
      </c>
      <c r="B75" s="8" t="n">
        <v>2023</v>
      </c>
      <c r="C75" s="9" t="n">
        <v>8.92</v>
      </c>
      <c r="D75" s="9" t="n">
        <v>127.43</v>
      </c>
      <c r="E75" s="8" t="n">
        <v>17</v>
      </c>
      <c r="F75" s="9" t="n">
        <v>5</v>
      </c>
      <c r="G75" s="9" t="n">
        <v>185</v>
      </c>
      <c r="H75" s="9" t="n">
        <v>6.8</v>
      </c>
      <c r="I75" s="9" t="n">
        <v>4.601621621621621</v>
      </c>
      <c r="J75" s="9" t="n">
        <v>0.7243857726071767</v>
      </c>
      <c r="K75" s="9" t="n">
        <v>5.214658724057079</v>
      </c>
      <c r="L75" s="9" t="n">
        <v>0.0519743546372726</v>
      </c>
      <c r="M75" s="9" t="n">
        <v>0.0252901813142323</v>
      </c>
      <c r="N75" s="9" t="n">
        <v>0.7301521215589302</v>
      </c>
      <c r="O75" s="9" t="n">
        <v>5.236564135711456</v>
      </c>
      <c r="P75" s="9" t="n">
        <v>0.052805113995204</v>
      </c>
      <c r="Q75" s="9" t="n">
        <v>0.0283260391445793</v>
      </c>
      <c r="R75" s="9" t="n">
        <v>-0.3987315616218057</v>
      </c>
      <c r="S75" s="9" t="n">
        <v>-0.3718810109474093</v>
      </c>
      <c r="T75" s="9" t="n">
        <v>2284448797164.097</v>
      </c>
      <c r="U75" s="9" t="n">
        <v>0.0067118568014804</v>
      </c>
      <c r="V75" s="9" t="n">
        <v>0.0064497611997222</v>
      </c>
      <c r="W75" s="9" t="n">
        <v>2.452496426632267</v>
      </c>
      <c r="X75" s="9" t="n">
        <v>65.28892008664705</v>
      </c>
      <c r="Y75" s="9" t="n">
        <v>2.21413531049872</v>
      </c>
      <c r="Z75" s="9" t="n">
        <v>21.91967654018644</v>
      </c>
      <c r="AA75" s="9" t="n">
        <v>12.22466765340594</v>
      </c>
      <c r="AB75" s="9" t="n">
        <v>25.36199659513725</v>
      </c>
      <c r="AC75" s="9" t="n">
        <v>0.468648181568936</v>
      </c>
      <c r="AD75" s="9" t="n">
        <v>11.84437500000058</v>
      </c>
      <c r="AE75" s="9" t="n">
        <v>11.84437500000058</v>
      </c>
      <c r="AF75" s="9" t="n">
        <v>43535.17270833333</v>
      </c>
      <c r="AG75" s="9" t="n">
        <v>43535.17270833333</v>
      </c>
      <c r="AH75" s="8" t="inlineStr">
        <is>
          <t>Moderate (5.0-5.9)</t>
        </is>
      </c>
    </row>
    <row r="76">
      <c r="A76" s="8" t="inlineStr">
        <is>
          <t>2024-01-29 07:37:21.000</t>
        </is>
      </c>
      <c r="B76" s="8" t="n">
        <v>2024</v>
      </c>
      <c r="C76" s="9" t="n">
        <v>8.619999999999999</v>
      </c>
      <c r="D76" s="9" t="n">
        <v>127.58</v>
      </c>
      <c r="E76" s="8" t="n">
        <v>13</v>
      </c>
      <c r="F76" s="9" t="n">
        <v>5.1</v>
      </c>
      <c r="G76" s="9" t="n">
        <v>4</v>
      </c>
      <c r="H76" s="9" t="n">
        <v>4.3</v>
      </c>
      <c r="I76" s="9" t="n">
        <v>4.15</v>
      </c>
      <c r="J76" s="9" t="n">
        <v>1.982271233039556</v>
      </c>
      <c r="K76" s="9" t="n">
        <v>8.571478427542056</v>
      </c>
      <c r="L76" s="9" t="n">
        <v>0.583375749854642</v>
      </c>
      <c r="M76" s="9" t="n">
        <v>0.0517179954141168</v>
      </c>
      <c r="N76" s="9" t="n">
        <v>2.171472409516257</v>
      </c>
      <c r="O76" s="9" t="n">
        <v>9.28794962939299</v>
      </c>
      <c r="P76" s="9" t="n">
        <v>0.7000528796998192</v>
      </c>
      <c r="Q76" s="9" t="n">
        <v>0.0978099977412769</v>
      </c>
      <c r="R76" s="9" t="n">
        <v>-0.0240694233345681</v>
      </c>
      <c r="S76" s="9" t="n">
        <v>0.0227411277760216</v>
      </c>
      <c r="T76" s="9" t="n">
        <v>11449853884.55148</v>
      </c>
      <c r="U76" s="9" t="n">
        <v>1.130280671296394e-06</v>
      </c>
      <c r="V76" s="9" t="n">
        <v>3.059023205018304e-07</v>
      </c>
      <c r="W76" s="9" t="n">
        <v>0</v>
      </c>
      <c r="X76" s="9" t="n">
        <v>-1.487672293103056</v>
      </c>
      <c r="Y76" s="9" t="n">
        <v>4.55984567641094</v>
      </c>
      <c r="Z76" s="9" t="n">
        <v>15.33390588570371</v>
      </c>
      <c r="AA76" s="9" t="n">
        <v>9.056174916906183</v>
      </c>
      <c r="AB76" s="9" t="n">
        <v>16.4603526864042</v>
      </c>
      <c r="AC76" s="9" t="n">
        <v>-1.301430220816253</v>
      </c>
      <c r="AD76" s="9" t="n">
        <v>56.49152777777636</v>
      </c>
      <c r="AE76" s="9" t="n">
        <v>56.49152777777636</v>
      </c>
      <c r="AF76" s="9" t="n">
        <v>37333.54251157407</v>
      </c>
      <c r="AG76" s="9" t="n">
        <v>37333.54251157407</v>
      </c>
      <c r="AH76" s="8" t="inlineStr">
        <is>
          <t>Moderate (5.0-5.9)</t>
        </is>
      </c>
    </row>
    <row r="77">
      <c r="A77" s="8" t="inlineStr">
        <is>
          <t>2024-02-10 05:21:35.000</t>
        </is>
      </c>
      <c r="B77" s="8" t="n">
        <v>2024</v>
      </c>
      <c r="C77" s="9" t="n">
        <v>8.66</v>
      </c>
      <c r="D77" s="9" t="n">
        <v>125.63</v>
      </c>
      <c r="E77" s="8" t="n">
        <v>41</v>
      </c>
      <c r="F77" s="9" t="n">
        <v>5.2</v>
      </c>
      <c r="G77" s="9" t="n">
        <v>5</v>
      </c>
      <c r="H77" s="9" t="n">
        <v>5.8</v>
      </c>
      <c r="I77" s="9" t="n">
        <v>4.720000000000001</v>
      </c>
      <c r="J77" s="9" t="n">
        <v>0.3556951615774289</v>
      </c>
      <c r="K77" s="9" t="n">
        <v>2.01469316015341</v>
      </c>
      <c r="L77" s="9" t="n">
        <v>0.0997051978793386</v>
      </c>
      <c r="M77" s="9" t="n">
        <v>0.0707714726393468</v>
      </c>
      <c r="N77" s="9" t="n">
        <v>0.4271749002327067</v>
      </c>
      <c r="O77" s="9" t="n">
        <v>2.271255835697031</v>
      </c>
      <c r="P77" s="9" t="n">
        <v>0.1438047852313861</v>
      </c>
      <c r="Q77" s="9" t="n">
        <v>0.1289287429754928</v>
      </c>
      <c r="R77" s="9" t="n">
        <v>0.135899450476935</v>
      </c>
      <c r="S77" s="9" t="n">
        <v>0.4830775065207549</v>
      </c>
      <c r="T77" s="9" t="n">
        <v>173201860522.4654</v>
      </c>
      <c r="U77" s="9" t="n">
        <v>0.08568691660418749</v>
      </c>
      <c r="V77" s="9" t="n">
        <v>0.0522968221278513</v>
      </c>
      <c r="W77" s="9" t="n">
        <v>-0.4082482904638629</v>
      </c>
      <c r="X77" s="9" t="n">
        <v>3.140754503371755</v>
      </c>
      <c r="Y77" s="9" t="n">
        <v>9.76719986538998</v>
      </c>
      <c r="Z77" s="9" t="n">
        <v>32.77614105589806</v>
      </c>
      <c r="AA77" s="9" t="n">
        <v>14.58564208531675</v>
      </c>
      <c r="AB77" s="9" t="n">
        <v>14.34665578486292</v>
      </c>
      <c r="AC77" s="9" t="n">
        <v>-2.965321413965608</v>
      </c>
      <c r="AD77" s="9" t="n">
        <v>1181.280462962961</v>
      </c>
      <c r="AE77" s="9" t="n">
        <v>22615.4183912037</v>
      </c>
      <c r="AF77" s="9" t="n">
        <v>36323.09488425926</v>
      </c>
      <c r="AG77" s="9" t="n">
        <v>41121.05137731481</v>
      </c>
      <c r="AH77" s="8" t="inlineStr">
        <is>
          <t>Moderate (5.0-5.9)</t>
        </is>
      </c>
    </row>
    <row r="78">
      <c r="A78" s="8" t="inlineStr">
        <is>
          <t>2024-03-06 20:19:39.000</t>
        </is>
      </c>
      <c r="B78" s="8" t="n">
        <v>2024</v>
      </c>
      <c r="C78" s="9" t="n">
        <v>7.88</v>
      </c>
      <c r="D78" s="9" t="n">
        <v>127.14</v>
      </c>
      <c r="E78" s="8" t="n">
        <v>7</v>
      </c>
      <c r="F78" s="9" t="n">
        <v>5</v>
      </c>
      <c r="G78" s="9" t="n">
        <v>4</v>
      </c>
      <c r="H78" s="9" t="n">
        <v>4.8</v>
      </c>
      <c r="I78" s="9" t="n">
        <v>4.475</v>
      </c>
      <c r="J78" s="9" t="n">
        <v>1.156265620765308</v>
      </c>
      <c r="K78" s="9" t="n">
        <v>5.468528507219779</v>
      </c>
      <c r="L78" s="9" t="n">
        <v>0.3843731784070871</v>
      </c>
      <c r="M78" s="9" t="n">
        <v>0.0828921211730799</v>
      </c>
      <c r="N78" s="9" t="n">
        <v>1.33629071354847</v>
      </c>
      <c r="O78" s="9" t="n">
        <v>6.214480988231537</v>
      </c>
      <c r="P78" s="9" t="n">
        <v>0.5133809504458148</v>
      </c>
      <c r="Q78" s="9" t="n">
        <v>0.1148310957730075</v>
      </c>
      <c r="R78" s="9" t="n">
        <v>0.0705257260868172</v>
      </c>
      <c r="S78" s="9" t="n">
        <v>0.1494543326360364</v>
      </c>
      <c r="T78" s="9" t="n">
        <v>26113072511.8064</v>
      </c>
      <c r="U78" s="9" t="n">
        <v>0.0003397841667012</v>
      </c>
      <c r="V78" s="9" t="n">
        <v>9.797783966128732e-05</v>
      </c>
      <c r="W78" s="9" t="n">
        <v>-1.333333333333333</v>
      </c>
      <c r="X78" s="9" t="n">
        <v>-1.079592360810165</v>
      </c>
      <c r="Y78" s="9" t="n">
        <v>8.43472243452687</v>
      </c>
      <c r="Z78" s="9" t="n">
        <v>14.81436279000461</v>
      </c>
      <c r="AA78" s="9" t="n">
        <v>8.897850274304005</v>
      </c>
      <c r="AB78" s="9" t="n">
        <v>11.42502269608734</v>
      </c>
      <c r="AC78" s="9" t="n">
        <v>2.660274721555895</v>
      </c>
      <c r="AD78" s="9" t="n">
        <v>94.40542824073782</v>
      </c>
      <c r="AE78" s="9" t="n">
        <v>94.40542824073782</v>
      </c>
      <c r="AF78" s="9" t="n">
        <v>95.2379050925956</v>
      </c>
      <c r="AG78" s="9" t="n">
        <v>29505.88336805555</v>
      </c>
      <c r="AH78" s="8" t="inlineStr">
        <is>
          <t>Moderate (5.0-5.9)</t>
        </is>
      </c>
    </row>
    <row r="79">
      <c r="A79" s="8" t="inlineStr">
        <is>
          <t>2024-04-09 09:47:59.000</t>
        </is>
      </c>
      <c r="B79" s="8" t="n">
        <v>2024</v>
      </c>
      <c r="C79" s="9" t="n">
        <v>2.52</v>
      </c>
      <c r="D79" s="9" t="n">
        <v>127.19</v>
      </c>
      <c r="E79" s="8" t="n">
        <v>35</v>
      </c>
      <c r="F79" s="9" t="n">
        <v>6.5</v>
      </c>
      <c r="G79" s="9" t="n">
        <v>4</v>
      </c>
      <c r="H79" s="9" t="n">
        <v>5.4</v>
      </c>
      <c r="I79" s="9" t="n">
        <v>4.775</v>
      </c>
      <c r="J79" s="9" t="n">
        <v>0.5473272648436019</v>
      </c>
      <c r="K79" s="9" t="n">
        <v>2.87346814042891</v>
      </c>
      <c r="L79" s="9" t="n">
        <v>0.1649178749066593</v>
      </c>
      <c r="M79" s="9" t="n">
        <v>0.0907639587508853</v>
      </c>
      <c r="N79" s="9" t="n">
        <v>1.021869369184122</v>
      </c>
      <c r="O79" s="9" t="n">
        <v>5.098285215738101</v>
      </c>
      <c r="P79" s="9" t="n">
        <v>0.5748629599797124</v>
      </c>
      <c r="Q79" s="9" t="n">
        <v>0.2100139597916157</v>
      </c>
      <c r="R79" s="9" t="n">
        <v>0.1500000000000012</v>
      </c>
      <c r="S79" s="9" t="n">
        <v>0.4108248965240468</v>
      </c>
      <c r="T79" s="9" t="n">
        <v>77943061299.42435</v>
      </c>
      <c r="U79" s="9" t="n">
        <v>0.0228043766512726</v>
      </c>
      <c r="V79" s="9" t="n">
        <v>0.0008597890156869</v>
      </c>
      <c r="W79" s="9" t="n">
        <v>1.921537845661046</v>
      </c>
      <c r="X79" s="9" t="n">
        <v>1.919438774239681</v>
      </c>
      <c r="Y79" s="9" t="n">
        <v>241.091664959756</v>
      </c>
      <c r="Z79" s="9" t="n">
        <v>312.9494989667675</v>
      </c>
      <c r="AA79" s="9" t="n">
        <v>49.99952889312032</v>
      </c>
      <c r="AB79" s="9" t="n">
        <v>310.5341100273895</v>
      </c>
      <c r="AC79" s="9" t="n">
        <v>3.531327026319232</v>
      </c>
      <c r="AD79" s="9" t="n">
        <v>139.2910300925942</v>
      </c>
      <c r="AE79" s="9" t="n">
        <v>447.1540393518517</v>
      </c>
      <c r="AF79" s="9" t="n">
        <v>447.1540393518517</v>
      </c>
      <c r="AG79" s="9" t="n">
        <v>43535.17270833333</v>
      </c>
      <c r="AH79" s="8" t="inlineStr">
        <is>
          <t>Strong (6.0-6.9)</t>
        </is>
      </c>
    </row>
    <row r="80">
      <c r="A80" s="8" t="inlineStr">
        <is>
          <t>2024-04-13 06:26:37.000</t>
        </is>
      </c>
      <c r="B80" s="8" t="n">
        <v>2024</v>
      </c>
      <c r="C80" s="9" t="n">
        <v>2.39</v>
      </c>
      <c r="D80" s="9" t="n">
        <v>126.62</v>
      </c>
      <c r="E80" s="8" t="n">
        <v>73</v>
      </c>
      <c r="F80" s="9" t="n">
        <v>5.3</v>
      </c>
      <c r="G80" s="9" t="n">
        <v>5</v>
      </c>
      <c r="H80" s="9" t="n">
        <v>6.5</v>
      </c>
      <c r="I80" s="9" t="n">
        <v>4.659999999999999</v>
      </c>
      <c r="J80" s="9" t="n">
        <v>0.1419476023754733</v>
      </c>
      <c r="K80" s="9" t="n">
        <v>0.8294713909327651</v>
      </c>
      <c r="L80" s="9" t="n">
        <v>0.0219139092196349</v>
      </c>
      <c r="M80" s="9" t="n">
        <v>0.10228523343301</v>
      </c>
      <c r="N80" s="9" t="n">
        <v>0.4571520862139496</v>
      </c>
      <c r="O80" s="9" t="n">
        <v>2.397160016818251</v>
      </c>
      <c r="P80" s="9" t="n">
        <v>0.2272925220637828</v>
      </c>
      <c r="Q80" s="9" t="n">
        <v>0.2638331864300472</v>
      </c>
      <c r="R80" s="9" t="n">
        <v>0.6564959389825731</v>
      </c>
      <c r="S80" s="9" t="n">
        <v>1.256318325765296</v>
      </c>
      <c r="T80" s="9" t="n">
        <v>708128367860.2345</v>
      </c>
      <c r="U80" s="9" t="n">
        <v>0.3751087482765873</v>
      </c>
      <c r="V80" s="9" t="n">
        <v>0.0425151525144297</v>
      </c>
      <c r="W80" s="9" t="n">
        <v>-1.698415551216894</v>
      </c>
      <c r="X80" s="9" t="n">
        <v>2.42831124509987</v>
      </c>
      <c r="Y80" s="9" t="n">
        <v>261.147829706857</v>
      </c>
      <c r="Z80" s="9" t="n">
        <v>283.5291319323728</v>
      </c>
      <c r="AA80" s="9" t="n">
        <v>16.49405085851557</v>
      </c>
      <c r="AB80" s="9" t="n">
        <v>283.6180139152324</v>
      </c>
      <c r="AC80" s="9" t="n">
        <v>2.38636182807877</v>
      </c>
      <c r="AD80" s="9" t="n">
        <v>3.860162037039117</v>
      </c>
      <c r="AE80" s="9" t="n">
        <v>3.860162037039117</v>
      </c>
      <c r="AF80" s="9" t="n">
        <v>451.0142013888908</v>
      </c>
      <c r="AG80" s="9" t="n">
        <v>43535.17270833333</v>
      </c>
      <c r="AH80" s="8" t="inlineStr">
        <is>
          <t>Moderate (5.0-5.9)</t>
        </is>
      </c>
    </row>
    <row r="81">
      <c r="A81" s="8" t="inlineStr">
        <is>
          <t>2024-04-25 04:20:14.000</t>
        </is>
      </c>
      <c r="B81" s="8" t="n">
        <v>2024</v>
      </c>
      <c r="C81" s="9" t="n">
        <v>7.69</v>
      </c>
      <c r="D81" s="9" t="n">
        <v>127.37</v>
      </c>
      <c r="E81" s="8" t="n">
        <v>18</v>
      </c>
      <c r="F81" s="9" t="n">
        <v>5</v>
      </c>
      <c r="G81" s="9" t="n">
        <v>5</v>
      </c>
      <c r="H81" s="9" t="n">
        <v>4.9</v>
      </c>
      <c r="I81" s="9" t="n">
        <v>4.380000000000001</v>
      </c>
      <c r="J81" s="9" t="n">
        <v>0.7891125051937939</v>
      </c>
      <c r="K81" s="9" t="n">
        <v>3.82262846068567</v>
      </c>
      <c r="L81" s="9" t="n">
        <v>0.2370723850815468</v>
      </c>
      <c r="M81" s="9" t="n">
        <v>0.07010468573405269</v>
      </c>
      <c r="N81" s="9" t="n">
        <v>0.9650988486738924</v>
      </c>
      <c r="O81" s="9" t="n">
        <v>4.530536419150011</v>
      </c>
      <c r="P81" s="9" t="n">
        <v>0.3546065166939722</v>
      </c>
      <c r="Q81" s="9" t="n">
        <v>0.1144984272996049</v>
      </c>
      <c r="R81" s="9" t="n">
        <v>0.0557877545649967</v>
      </c>
      <c r="S81" s="9" t="n">
        <v>0.2056244700993508</v>
      </c>
      <c r="T81" s="9" t="n">
        <v>30757614801.93951</v>
      </c>
      <c r="U81" s="9" t="n">
        <v>0.0042920273862682</v>
      </c>
      <c r="V81" s="9" t="n">
        <v>0.0012726338013398</v>
      </c>
      <c r="W81" s="9" t="n">
        <v>-1.299038105676658</v>
      </c>
      <c r="X81" s="9" t="n">
        <v>1.038142345512771</v>
      </c>
      <c r="Y81" s="9" t="n">
        <v>4.39773525278</v>
      </c>
      <c r="Z81" s="9" t="n">
        <v>14.52517394323212</v>
      </c>
      <c r="AA81" s="9" t="n">
        <v>7.686543406323747</v>
      </c>
      <c r="AB81" s="9" t="n">
        <v>11.54052378884104</v>
      </c>
      <c r="AC81" s="9" t="n">
        <v>-1.653056545956102</v>
      </c>
      <c r="AD81" s="9" t="n">
        <v>144.3111226851906</v>
      </c>
      <c r="AE81" s="9" t="n">
        <v>11306.39814351852</v>
      </c>
      <c r="AF81" s="9" t="n">
        <v>11665.75326851852</v>
      </c>
      <c r="AG81" s="9" t="n">
        <v>29555.21710648148</v>
      </c>
      <c r="AH81" s="8" t="inlineStr">
        <is>
          <t>Moderate (5.0-5.9)</t>
        </is>
      </c>
    </row>
    <row r="82">
      <c r="A82" s="8" t="inlineStr">
        <is>
          <t>2024-06-12 17:01:20.000</t>
        </is>
      </c>
      <c r="B82" s="8" t="n">
        <v>2024</v>
      </c>
      <c r="C82" s="9" t="n">
        <v>4.1</v>
      </c>
      <c r="D82" s="9" t="n">
        <v>126.65</v>
      </c>
      <c r="E82" s="8" t="n">
        <v>55</v>
      </c>
      <c r="F82" s="9" t="n">
        <v>5.7</v>
      </c>
      <c r="G82" s="9" t="n">
        <v>4</v>
      </c>
      <c r="H82" s="9" t="n">
        <v>4.4</v>
      </c>
      <c r="I82" s="9" t="n">
        <v>4.225</v>
      </c>
      <c r="J82" s="9" t="n">
        <v>1.806179973983888</v>
      </c>
      <c r="K82" s="9" t="n">
        <v>7.977294885095504</v>
      </c>
      <c r="L82" s="9" t="n">
        <v>0.5627443519775263</v>
      </c>
      <c r="M82" s="9" t="n">
        <v>0.0777256106610321</v>
      </c>
      <c r="N82" s="9" t="n">
        <v>2.48168275373287</v>
      </c>
      <c r="O82" s="9" t="n">
        <v>10.77695928163273</v>
      </c>
      <c r="P82" s="9" t="n">
        <v>1.062384252555217</v>
      </c>
      <c r="Q82" s="9" t="n">
        <v>0.1752263078071929</v>
      </c>
      <c r="R82" s="9" t="n">
        <v>-0.0166666666666674</v>
      </c>
      <c r="S82" s="9" t="n">
        <v>0.0573984868040202</v>
      </c>
      <c r="T82" s="9" t="n">
        <v>13642108446.87943</v>
      </c>
      <c r="U82" s="9" t="n">
        <v>3.814697265624999e-06</v>
      </c>
      <c r="V82" s="9" t="n">
        <v>3.588820514756982e-08</v>
      </c>
      <c r="W82" s="9" t="n">
        <v>-1.921537845661046</v>
      </c>
      <c r="X82" s="9" t="n">
        <v>2.147526847152319</v>
      </c>
      <c r="Y82" s="9" t="n">
        <v>113.711850835022</v>
      </c>
      <c r="Z82" s="9" t="n">
        <v>142.7359125841855</v>
      </c>
      <c r="AA82" s="9" t="n">
        <v>33.48479602171902</v>
      </c>
      <c r="AB82" s="9" t="n">
        <v>133.0642440011584</v>
      </c>
      <c r="AC82" s="9" t="n">
        <v>3.260963873768669</v>
      </c>
      <c r="AD82" s="9" t="n">
        <v>155.8421527777828</v>
      </c>
      <c r="AE82" s="9" t="n">
        <v>155.8421527777828</v>
      </c>
      <c r="AF82" s="9" t="n">
        <v>5599.976701388892</v>
      </c>
      <c r="AG82" s="9" t="n">
        <v>5599.976701388892</v>
      </c>
      <c r="AH82" s="8" t="inlineStr">
        <is>
          <t>Moderate (5.0-5.9)</t>
        </is>
      </c>
    </row>
    <row r="83">
      <c r="A83" s="8" t="inlineStr">
        <is>
          <t>2024-08-02 22:22:57.000</t>
        </is>
      </c>
      <c r="B83" s="8" t="n">
        <v>2024</v>
      </c>
      <c r="C83" s="9" t="n">
        <v>8.119999999999999</v>
      </c>
      <c r="D83" s="9" t="n">
        <v>126.84</v>
      </c>
      <c r="E83" s="8" t="n">
        <v>11</v>
      </c>
      <c r="F83" s="9" t="n">
        <v>6.8</v>
      </c>
      <c r="G83" s="9" t="n">
        <v>3</v>
      </c>
      <c r="H83" s="9" t="n">
        <v>4.3</v>
      </c>
      <c r="I83" s="9" t="n">
        <v>4.2</v>
      </c>
      <c r="J83" s="9" t="n">
        <v>2.385606273598298</v>
      </c>
      <c r="K83" s="9" t="n">
        <v>10.27893009924073</v>
      </c>
      <c r="L83" s="9" t="n">
        <v>0.7557266632048305</v>
      </c>
      <c r="M83" s="9" t="n">
        <v>0.0360667066065078</v>
      </c>
      <c r="N83" s="9" t="n">
        <v>2.895296546021672</v>
      </c>
      <c r="O83" s="9" t="n">
        <v>12.34783709340852</v>
      </c>
      <c r="P83" s="9" t="n">
        <v>1.113149032428996</v>
      </c>
      <c r="Q83" s="9" t="n">
        <v>0.1889330193748838</v>
      </c>
      <c r="R83" s="9" t="n">
        <v>-0.0087286502380967</v>
      </c>
      <c r="S83" s="9" t="n">
        <v>0.0352081566997828</v>
      </c>
      <c r="T83" s="9" t="n">
        <v>10735465618.82471</v>
      </c>
      <c r="U83" s="9" t="n">
        <v>6.969171937626307e-08</v>
      </c>
      <c r="V83" s="9" t="n">
        <v>2.061153622438658e-09</v>
      </c>
      <c r="W83" s="9" t="n">
        <v>-0.6123724356957945</v>
      </c>
      <c r="X83" s="9" t="n">
        <v>-2.535427497496085</v>
      </c>
      <c r="Y83" s="9" t="n">
        <v>6.3146041677353</v>
      </c>
      <c r="Z83" s="9" t="n">
        <v>20.3804883043975</v>
      </c>
      <c r="AA83" s="9" t="n">
        <v>13.14431319782364</v>
      </c>
      <c r="AB83" s="9" t="n">
        <v>21.97387826737772</v>
      </c>
      <c r="AC83" s="9" t="n">
        <v>1.882960637671678</v>
      </c>
      <c r="AD83" s="9" t="n">
        <v>243.1065277777743</v>
      </c>
      <c r="AE83" s="9" t="n">
        <v>243.1065277777743</v>
      </c>
      <c r="AF83" s="9" t="n">
        <v>244.3235300925953</v>
      </c>
      <c r="AG83" s="9" t="n">
        <v>29654.96899305556</v>
      </c>
      <c r="AH83" s="8" t="inlineStr">
        <is>
          <t>Strong (6.0-6.9)</t>
        </is>
      </c>
    </row>
    <row r="84">
      <c r="A84" s="8" t="inlineStr">
        <is>
          <t>2024-08-03 04:20:23.000</t>
        </is>
      </c>
      <c r="B84" s="8" t="n">
        <v>2024</v>
      </c>
      <c r="C84" s="9" t="n">
        <v>8.140000000000001</v>
      </c>
      <c r="D84" s="9" t="n">
        <v>127.18</v>
      </c>
      <c r="E84" s="8" t="n">
        <v>1</v>
      </c>
      <c r="F84" s="9" t="n">
        <v>6.2</v>
      </c>
      <c r="G84" s="9" t="n">
        <v>9</v>
      </c>
      <c r="H84" s="9" t="n">
        <v>6.8</v>
      </c>
      <c r="I84" s="9" t="n">
        <v>4.811111111111111</v>
      </c>
      <c r="J84" s="9" t="n">
        <v>0.3437694715307332</v>
      </c>
      <c r="K84" s="9" t="n">
        <v>2.149982151047236</v>
      </c>
      <c r="L84" s="9" t="n">
        <v>0.0796897645556822</v>
      </c>
      <c r="M84" s="9" t="n">
        <v>0.1232278857178258</v>
      </c>
      <c r="N84" s="9" t="n">
        <v>0.4825494243369467</v>
      </c>
      <c r="O84" s="9" t="n">
        <v>2.853113775032514</v>
      </c>
      <c r="P84" s="9" t="n">
        <v>0.1570187567609717</v>
      </c>
      <c r="Q84" s="9" t="n">
        <v>0.1675474333723072</v>
      </c>
      <c r="R84" s="9" t="n">
        <v>0.5458607319788529</v>
      </c>
      <c r="S84" s="9" t="n">
        <v>0.8874164776947522</v>
      </c>
      <c r="T84" s="9" t="n">
        <v>1321087172854.325</v>
      </c>
      <c r="U84" s="9" t="n">
        <v>0.09304468831555469</v>
      </c>
      <c r="V84" s="9" t="n">
        <v>0.0356739933472523</v>
      </c>
      <c r="W84" s="9" t="n">
        <v>-1.150792911137501</v>
      </c>
      <c r="X84" s="9" t="n">
        <v>-0.6598009441132607</v>
      </c>
      <c r="Y84" s="9" t="n">
        <v>6.3146041677353</v>
      </c>
      <c r="Z84" s="9" t="n">
        <v>23.25705546706361</v>
      </c>
      <c r="AA84" s="9" t="n">
        <v>7.972838597045148</v>
      </c>
      <c r="AB84" s="9" t="n">
        <v>23.92644336223279</v>
      </c>
      <c r="AC84" s="9" t="n">
        <v>1.508506614754191</v>
      </c>
      <c r="AD84" s="9" t="n">
        <v>0.2482175925906631</v>
      </c>
      <c r="AE84" s="9" t="n">
        <v>0.2482175925906631</v>
      </c>
      <c r="AF84" s="9" t="n">
        <v>244.571747685186</v>
      </c>
      <c r="AG84" s="9" t="n">
        <v>29655.21721064814</v>
      </c>
      <c r="AH84" s="8" t="inlineStr">
        <is>
          <t>Strong (6.0-6.9)</t>
        </is>
      </c>
    </row>
    <row r="85">
      <c r="A85" s="8" t="inlineStr">
        <is>
          <t>2024-08-06 05:39:21.000</t>
        </is>
      </c>
      <c r="B85" s="8" t="n">
        <v>2024</v>
      </c>
      <c r="C85" s="9" t="n">
        <v>7.81</v>
      </c>
      <c r="D85" s="9" t="n">
        <v>127.32</v>
      </c>
      <c r="E85" s="8" t="n">
        <v>7</v>
      </c>
      <c r="F85" s="9" t="n">
        <v>5.2</v>
      </c>
      <c r="G85" s="9" t="n">
        <v>20</v>
      </c>
      <c r="H85" s="9" t="n">
        <v>6.8</v>
      </c>
      <c r="I85" s="9" t="n">
        <v>4.59</v>
      </c>
      <c r="J85" s="9" t="n">
        <v>0.3914534596429419</v>
      </c>
      <c r="K85" s="9" t="n">
        <v>2.584031644841262</v>
      </c>
      <c r="L85" s="9" t="n">
        <v>0.0601221637177944</v>
      </c>
      <c r="M85" s="9" t="n">
        <v>0.0728626996021032</v>
      </c>
      <c r="N85" s="9" t="n">
        <v>0.4759391582501391</v>
      </c>
      <c r="O85" s="9" t="n">
        <v>2.997222283292556</v>
      </c>
      <c r="P85" s="9" t="n">
        <v>0.08887450745136539</v>
      </c>
      <c r="Q85" s="9" t="n">
        <v>0.1222992701198717</v>
      </c>
      <c r="R85" s="9" t="n">
        <v>0.1988790207698114</v>
      </c>
      <c r="S85" s="9" t="n">
        <v>0.5025095932171491</v>
      </c>
      <c r="T85" s="9" t="n">
        <v>1374991857965.851</v>
      </c>
      <c r="U85" s="9" t="n">
        <v>0.0669328967626473</v>
      </c>
      <c r="V85" s="9" t="n">
        <v>0.0373407060310903</v>
      </c>
      <c r="W85" s="9" t="n">
        <v>-2.264554068289192</v>
      </c>
      <c r="X85" s="9" t="n">
        <v>5.414248897561139</v>
      </c>
      <c r="Y85" s="9" t="n">
        <v>5.94505293464665</v>
      </c>
      <c r="Z85" s="9" t="n">
        <v>21.66101091044153</v>
      </c>
      <c r="AA85" s="9" t="n">
        <v>7.493393354197519</v>
      </c>
      <c r="AB85" s="9" t="n">
        <v>21.93146708412567</v>
      </c>
      <c r="AC85" s="9" t="n">
        <v>-1.311323314802212</v>
      </c>
      <c r="AD85" s="9" t="n">
        <v>3.054837962969032</v>
      </c>
      <c r="AE85" s="9" t="n">
        <v>3.303055555559695</v>
      </c>
      <c r="AF85" s="9" t="n">
        <v>11768.80821064815</v>
      </c>
      <c r="AG85" s="9" t="n">
        <v>29658.27204861112</v>
      </c>
      <c r="AH85" s="8" t="inlineStr">
        <is>
          <t>Moderate (5.0-5.9)</t>
        </is>
      </c>
    </row>
    <row r="86">
      <c r="A86" s="8" t="inlineStr">
        <is>
          <t>2024-09-09 21:01:31.000</t>
        </is>
      </c>
      <c r="B86" s="8" t="n">
        <v>2024</v>
      </c>
      <c r="C86" s="9" t="n">
        <v>4.28</v>
      </c>
      <c r="D86" s="9" t="n">
        <v>126.78</v>
      </c>
      <c r="E86" s="8" t="n">
        <v>101</v>
      </c>
      <c r="F86" s="9" t="n">
        <v>5.2</v>
      </c>
      <c r="G86" s="9" t="n">
        <v>4</v>
      </c>
      <c r="H86" s="9" t="n">
        <v>5</v>
      </c>
      <c r="I86" s="9" t="n">
        <v>4.55</v>
      </c>
      <c r="J86" s="9" t="n">
        <v>0.772815151624382</v>
      </c>
      <c r="K86" s="9" t="n">
        <v>3.797466440478</v>
      </c>
      <c r="L86" s="9" t="n">
        <v>0.2539103462288145</v>
      </c>
      <c r="M86" s="9" t="n">
        <v>0.0945474416928954</v>
      </c>
      <c r="N86" s="9" t="n">
        <v>0.8685889638065036</v>
      </c>
      <c r="O86" s="9" t="n">
        <v>4.163274742934627</v>
      </c>
      <c r="P86" s="9" t="n">
        <v>0.3207434197239476</v>
      </c>
      <c r="Q86" s="9" t="n">
        <v>0.1202133206866216</v>
      </c>
      <c r="R86" s="9" t="n">
        <v>0.0861904913534683</v>
      </c>
      <c r="S86" s="9" t="n">
        <v>0.2068528194400549</v>
      </c>
      <c r="T86" s="9" t="n">
        <v>36611841556.60479</v>
      </c>
      <c r="U86" s="9" t="n">
        <v>0.0048034640546014</v>
      </c>
      <c r="V86" s="9" t="n">
        <v>0.0024787521766663</v>
      </c>
      <c r="W86" s="9" t="n">
        <v>0</v>
      </c>
      <c r="X86" s="9" t="n">
        <v>1.866532189429095</v>
      </c>
      <c r="Y86" s="9" t="n">
        <v>77.54540681477759</v>
      </c>
      <c r="Z86" s="9" t="n">
        <v>131.8211769329409</v>
      </c>
      <c r="AA86" s="9" t="n">
        <v>58.72400828480447</v>
      </c>
      <c r="AB86" s="9" t="n">
        <v>179.3562819427352</v>
      </c>
      <c r="AC86" s="9" t="n">
        <v>0.9896073472531722</v>
      </c>
      <c r="AD86" s="9" t="n">
        <v>245.0089467592625</v>
      </c>
      <c r="AE86" s="9" t="n">
        <v>245.0089467592625</v>
      </c>
      <c r="AF86" s="9" t="n">
        <v>5689.143495370372</v>
      </c>
      <c r="AG86" s="9" t="n">
        <v>5689.143495370372</v>
      </c>
      <c r="AH86" s="8" t="inlineStr">
        <is>
          <t>Moderate (5.0-5.9)</t>
        </is>
      </c>
    </row>
    <row r="87">
      <c r="A87" s="8" t="inlineStr">
        <is>
          <t>2024-09-13 06:33:39.000</t>
        </is>
      </c>
      <c r="B87" s="8" t="n">
        <v>2024</v>
      </c>
      <c r="C87" s="9" t="n">
        <v>4.11</v>
      </c>
      <c r="D87" s="9" t="n">
        <v>126.88</v>
      </c>
      <c r="E87" s="8" t="n">
        <v>18</v>
      </c>
      <c r="F87" s="9" t="n">
        <v>5.1</v>
      </c>
      <c r="G87" s="9" t="n">
        <v>3</v>
      </c>
      <c r="H87" s="9" t="n">
        <v>5.2</v>
      </c>
      <c r="I87" s="9" t="n">
        <v>4.766666666666667</v>
      </c>
      <c r="J87" s="9" t="n">
        <v>0.2782378938074165</v>
      </c>
      <c r="K87" s="9" t="n">
        <v>1.559338807512444</v>
      </c>
      <c r="L87" s="9" t="n">
        <v>0.0602362251590381</v>
      </c>
      <c r="M87" s="9" t="n">
        <v>0.0886361933487206</v>
      </c>
      <c r="N87" s="9" t="n">
        <v>0.6059923003301187</v>
      </c>
      <c r="O87" s="9" t="n">
        <v>2.961689686073149</v>
      </c>
      <c r="P87" s="9" t="n">
        <v>0.2857323452691054</v>
      </c>
      <c r="Q87" s="9" t="n">
        <v>0.1874074575518807</v>
      </c>
      <c r="R87" s="9" t="n">
        <v>-0.4043365846916122</v>
      </c>
      <c r="S87" s="9" t="n">
        <v>0.3126611931211887</v>
      </c>
      <c r="T87" s="9" t="n">
        <v>57574785991.42121</v>
      </c>
      <c r="U87" s="9" t="n">
        <v>0.1463141466057444</v>
      </c>
      <c r="V87" s="9" t="n">
        <v>0.0152062840590658</v>
      </c>
      <c r="W87" s="9" t="n">
        <v>-0.6123724356957945</v>
      </c>
      <c r="X87" s="9" t="n">
        <v>1.758027116019358</v>
      </c>
      <c r="Y87" s="9" t="n">
        <v>114.356589438483</v>
      </c>
      <c r="Z87" s="9" t="n">
        <v>159.5810376615427</v>
      </c>
      <c r="AA87" s="9" t="n">
        <v>51.24329667753228</v>
      </c>
      <c r="AB87" s="9" t="n">
        <v>170.377836121525</v>
      </c>
      <c r="AC87" s="9" t="n">
        <v>-10.29261727785083</v>
      </c>
      <c r="AD87" s="9" t="n">
        <v>248.4062615740768</v>
      </c>
      <c r="AE87" s="9" t="n">
        <v>248.4062615740768</v>
      </c>
      <c r="AF87" s="9" t="n">
        <v>5692.540810185186</v>
      </c>
      <c r="AG87" s="9" t="n">
        <v>5692.540810185186</v>
      </c>
      <c r="AH87" s="8" t="inlineStr">
        <is>
          <t>Moderate (5.0-5.9)</t>
        </is>
      </c>
    </row>
    <row r="88">
      <c r="A88" s="8" t="inlineStr">
        <is>
          <t>2024-12-03 16:09:08.000</t>
        </is>
      </c>
      <c r="B88" s="8" t="n">
        <v>2024</v>
      </c>
      <c r="C88" s="9" t="n">
        <v>4.48</v>
      </c>
      <c r="D88" s="9" t="n">
        <v>126.56</v>
      </c>
      <c r="E88" s="8" t="n">
        <v>39</v>
      </c>
      <c r="F88" s="9" t="n">
        <v>5.3</v>
      </c>
      <c r="G88" s="9" t="n">
        <v>4</v>
      </c>
      <c r="H88" s="9" t="n">
        <v>4.6</v>
      </c>
      <c r="I88" s="9" t="n">
        <v>4.375</v>
      </c>
      <c r="J88" s="9" t="n">
        <v>0.7708437471768722</v>
      </c>
      <c r="K88" s="9" t="n">
        <v>3.716281685127776</v>
      </c>
      <c r="L88" s="9" t="n">
        <v>0.1797127836963793</v>
      </c>
      <c r="M88" s="9" t="n">
        <v>0.1064729154494979</v>
      </c>
      <c r="N88" s="9" t="n">
        <v>1.021869369184122</v>
      </c>
      <c r="O88" s="9" t="n">
        <v>4.689537468064452</v>
      </c>
      <c r="P88" s="9" t="n">
        <v>0.3158181069643543</v>
      </c>
      <c r="Q88" s="9" t="n">
        <v>0.1656019605818213</v>
      </c>
      <c r="R88" s="9" t="n">
        <v>-0.2210570543488694</v>
      </c>
      <c r="S88" s="9" t="n">
        <v>0.0108248965240465</v>
      </c>
      <c r="T88" s="9" t="n">
        <v>20382932124.95743</v>
      </c>
      <c r="U88" s="9" t="n">
        <v>0.0048693249579227</v>
      </c>
      <c r="V88" s="9" t="n">
        <v>0.0008597890156869</v>
      </c>
      <c r="W88" s="9" t="n">
        <v>0.8660254037844386</v>
      </c>
      <c r="X88" s="9" t="n">
        <v>1.44807759195194</v>
      </c>
      <c r="Y88" s="9" t="n">
        <v>62.9562111598399</v>
      </c>
      <c r="Z88" s="9" t="n">
        <v>130.4162594021872</v>
      </c>
      <c r="AA88" s="9" t="n">
        <v>60.39743455248716</v>
      </c>
      <c r="AB88" s="9" t="n">
        <v>103.4923996249972</v>
      </c>
      <c r="AC88" s="9" t="n">
        <v>17.10331737060806</v>
      </c>
      <c r="AD88" s="9" t="n">
        <v>329.8059027777781</v>
      </c>
      <c r="AE88" s="9" t="n">
        <v>329.8059027777781</v>
      </c>
      <c r="AF88" s="9" t="n">
        <v>5773.940451388888</v>
      </c>
      <c r="AG88" s="9" t="n">
        <v>5773.940451388888</v>
      </c>
      <c r="AH88" s="8" t="inlineStr">
        <is>
          <t>Moderate (5.0-5.9)</t>
        </is>
      </c>
    </row>
    <row r="89">
      <c r="A89" s="8" t="inlineStr">
        <is>
          <t>2025-02-02 15:43:10.000</t>
        </is>
      </c>
      <c r="B89" s="8" t="n">
        <v>2025</v>
      </c>
      <c r="C89" s="9" t="n">
        <v>10.22</v>
      </c>
      <c r="D89" s="9" t="n">
        <v>125.61</v>
      </c>
      <c r="E89" s="8" t="n">
        <v>105</v>
      </c>
      <c r="F89" s="9" t="n">
        <v>5</v>
      </c>
      <c r="G89" s="9" t="n">
        <v>4</v>
      </c>
      <c r="H89" s="9" t="n">
        <v>5.8</v>
      </c>
      <c r="I89" s="9" t="n">
        <v>4.75</v>
      </c>
      <c r="J89" s="9" t="n">
        <v>0.2727177372585126</v>
      </c>
      <c r="K89" s="9" t="n">
        <v>1.463487775762464</v>
      </c>
      <c r="L89" s="9" t="n">
        <v>0.0602777616636995</v>
      </c>
      <c r="M89" s="9" t="n">
        <v>0.1434813955038501</v>
      </c>
      <c r="N89" s="9" t="n">
        <v>0.8685889638065036</v>
      </c>
      <c r="O89" s="9" t="n">
        <v>4.336992535695928</v>
      </c>
      <c r="P89" s="9" t="n">
        <v>0.6114472007825138</v>
      </c>
      <c r="Q89" s="9" t="n">
        <v>0.337078761618668</v>
      </c>
      <c r="R89" s="9" t="n">
        <v>0.4336905311912105</v>
      </c>
      <c r="S89" s="9" t="n">
        <v>0.8068528194400546</v>
      </c>
      <c r="T89" s="9" t="n">
        <v>166752241481.3577</v>
      </c>
      <c r="U89" s="9" t="n">
        <v>0.1520011200794054</v>
      </c>
      <c r="V89" s="9" t="n">
        <v>0.0024787521766663</v>
      </c>
      <c r="W89" s="9" t="n">
        <v>1.154700538379252</v>
      </c>
      <c r="X89" s="9" t="n">
        <v>2.087835684683383</v>
      </c>
      <c r="Y89" s="9" t="n">
        <v>9.18645595599641</v>
      </c>
      <c r="Z89" s="9" t="n">
        <v>51.53131082421316</v>
      </c>
      <c r="AA89" s="9" t="n">
        <v>28.34210923648305</v>
      </c>
      <c r="AB89" s="9" t="n">
        <v>10.56842967909182</v>
      </c>
      <c r="AC89" s="9" t="n">
        <v>1.610817888989997</v>
      </c>
      <c r="AD89" s="9" t="n">
        <v>2158.025659722225</v>
      </c>
      <c r="AE89" s="9" t="n">
        <v>2914.069073495375</v>
      </c>
      <c r="AF89" s="9" t="n">
        <v>27911.67245370371</v>
      </c>
      <c r="AG89" s="9" t="n">
        <v>43535.17270833333</v>
      </c>
      <c r="AH89" s="8" t="inlineStr">
        <is>
          <t>Moderate (5.0-5.9)</t>
        </is>
      </c>
    </row>
    <row r="90">
      <c r="A90" s="8" t="inlineStr">
        <is>
          <t>2025-02-15 01:18:49.000</t>
        </is>
      </c>
      <c r="B90" s="8" t="n">
        <v>2025</v>
      </c>
      <c r="C90" s="9" t="n">
        <v>11.54</v>
      </c>
      <c r="D90" s="9" t="n">
        <v>125.95</v>
      </c>
      <c r="E90" s="8" t="n">
        <v>12</v>
      </c>
      <c r="F90" s="9" t="n">
        <v>5.2</v>
      </c>
      <c r="G90" s="9" t="n">
        <v>5</v>
      </c>
      <c r="H90" s="9" t="n">
        <v>5.3</v>
      </c>
      <c r="I90" s="9" t="n">
        <v>4.42</v>
      </c>
      <c r="J90" s="9" t="n">
        <v>-0</v>
      </c>
      <c r="K90" s="9" t="n">
        <v>0</v>
      </c>
      <c r="L90" s="9" t="n">
        <v>0</v>
      </c>
      <c r="M90" s="9" t="n">
        <v>0</v>
      </c>
      <c r="N90" s="9" t="n">
        <v/>
      </c>
      <c r="O90" s="9" t="n">
        <v/>
      </c>
      <c r="P90" s="9" t="n">
        <v/>
      </c>
      <c r="Q90" s="9" t="n">
        <v/>
      </c>
      <c r="R90" s="9" t="n">
        <v/>
      </c>
      <c r="S90" s="9" t="n">
        <v/>
      </c>
      <c r="T90" s="9" t="n">
        <v>60157514344.05592</v>
      </c>
      <c r="U90" s="9" t="n">
        <v>1</v>
      </c>
      <c r="V90" s="9" t="n">
        <v/>
      </c>
      <c r="W90" s="9" t="n">
        <v>-0.9486832980505135</v>
      </c>
      <c r="X90" s="9" t="n">
        <v>3.758943694526856</v>
      </c>
      <c r="Y90" s="9" t="n">
        <v>31.862158652043</v>
      </c>
      <c r="Z90" s="9" t="n">
        <v>45.14358816980434</v>
      </c>
      <c r="AA90" s="9" t="n">
        <v>9.791411885558594</v>
      </c>
      <c r="AB90" s="9" t="n">
        <v>38.22394882033471</v>
      </c>
      <c r="AC90" s="9" t="n">
        <v>1.476953279311461</v>
      </c>
      <c r="AD90" s="9" t="n">
        <v>2124.820115740738</v>
      </c>
      <c r="AE90" s="9" t="n">
        <v>2124.820115740738</v>
      </c>
      <c r="AF90" s="9" t="n">
        <v>10893.0305625</v>
      </c>
      <c r="AG90" s="9" t="n">
        <v>43535.17270833333</v>
      </c>
      <c r="AH90" s="8" t="inlineStr">
        <is>
          <t>Moderate (5.0-5.9)</t>
        </is>
      </c>
    </row>
    <row r="91">
      <c r="A91" s="8" t="inlineStr">
        <is>
          <t>2025-04-19 16:50:46.000</t>
        </is>
      </c>
      <c r="B91" s="8" t="n">
        <v>2025</v>
      </c>
      <c r="C91" s="9" t="n">
        <v>5.84</v>
      </c>
      <c r="D91" s="9" t="n">
        <v>124.09</v>
      </c>
      <c r="E91" s="8" t="n">
        <v>10</v>
      </c>
      <c r="F91" s="9" t="n">
        <v>5.1</v>
      </c>
      <c r="G91" s="9" t="n">
        <v>4</v>
      </c>
      <c r="H91" s="9" t="n">
        <v>5.9</v>
      </c>
      <c r="I91" s="9" t="n">
        <v>4.9</v>
      </c>
      <c r="J91" s="9" t="n">
        <v>0.1244860884324732</v>
      </c>
      <c r="K91" s="9" t="n">
        <v>0.9021846336215248</v>
      </c>
      <c r="L91" s="9" t="n">
        <v>0.0185775164601414</v>
      </c>
      <c r="M91" s="9" t="n">
        <v>0.0929834715465178</v>
      </c>
      <c r="N91" s="9" t="n">
        <v>0.4571520862139492</v>
      </c>
      <c r="O91" s="9" t="n">
        <v>2.43066833618376</v>
      </c>
      <c r="P91" s="9" t="n">
        <v>0.2505344342094173</v>
      </c>
      <c r="Q91" s="9" t="n">
        <v>0.249176763131052</v>
      </c>
      <c r="R91" s="9" t="n">
        <v>-1.347272727272729</v>
      </c>
      <c r="S91" s="9" t="n">
        <v>0.5830203569361041</v>
      </c>
      <c r="T91" s="9" t="n">
        <v>244776724377.5077</v>
      </c>
      <c r="U91" s="9" t="n">
        <v>0.4231961759434785</v>
      </c>
      <c r="V91" s="9" t="n">
        <v>0.0425151525144298</v>
      </c>
      <c r="W91" s="9" t="n">
        <v>-1.333333333333333</v>
      </c>
      <c r="X91" s="9" t="n">
        <v>4.819094914515003</v>
      </c>
      <c r="Y91" s="9" t="n">
        <v>37.9869428234762</v>
      </c>
      <c r="Z91" s="9" t="n">
        <v>41.80520984832403</v>
      </c>
      <c r="AA91" s="9" t="n">
        <v>3.485516220956956</v>
      </c>
      <c r="AB91" s="9" t="n">
        <v>42.68815209432274</v>
      </c>
      <c r="AC91" s="9" t="n">
        <v>1.341302925694654</v>
      </c>
      <c r="AD91" s="9" t="n">
        <v>282.6094097222158</v>
      </c>
      <c r="AE91" s="9" t="n">
        <v>282.6094097222158</v>
      </c>
      <c r="AF91" s="9" t="n">
        <v>282.6094097222158</v>
      </c>
      <c r="AG91" s="9" t="n">
        <v>17778.02757060185</v>
      </c>
      <c r="AH91" s="8" t="inlineStr">
        <is>
          <t>Moderate (5.0-5.9)</t>
        </is>
      </c>
    </row>
    <row r="92">
      <c r="A92" s="8" t="inlineStr">
        <is>
          <t>2025-04-19 17:37:09.000</t>
        </is>
      </c>
      <c r="B92" s="8" t="n">
        <v>2025</v>
      </c>
      <c r="C92" s="9" t="n">
        <v>5.82</v>
      </c>
      <c r="D92" s="9" t="n">
        <v>124.06</v>
      </c>
      <c r="E92" s="8" t="n">
        <v>12</v>
      </c>
      <c r="F92" s="9" t="n">
        <v>5.4</v>
      </c>
      <c r="G92" s="9" t="n">
        <v>6</v>
      </c>
      <c r="H92" s="9" t="n">
        <v>5.9</v>
      </c>
      <c r="I92" s="9" t="n">
        <v>4.833333333333334</v>
      </c>
      <c r="J92" s="9" t="n">
        <v>0.2860505692174144</v>
      </c>
      <c r="K92" s="9" t="n">
        <v>1.823848152014449</v>
      </c>
      <c r="L92" s="9" t="n">
        <v>0.06549459529628</v>
      </c>
      <c r="M92" s="9" t="n">
        <v>0.07815835137381889</v>
      </c>
      <c r="N92" s="9" t="n">
        <v>0.3948131653665924</v>
      </c>
      <c r="O92" s="9" t="n">
        <v>2.26027528586765</v>
      </c>
      <c r="P92" s="9" t="n">
        <v>0.1247679623780753</v>
      </c>
      <c r="Q92" s="9" t="n">
        <v>0.1453273225912614</v>
      </c>
      <c r="R92" s="9" t="n">
        <v>-0.4759640716821041</v>
      </c>
      <c r="S92" s="9" t="n">
        <v>0.1750762027681194</v>
      </c>
      <c r="T92" s="9" t="n">
        <v>247959997041.4678</v>
      </c>
      <c r="U92" s="9" t="n">
        <v>0.1386271492231955</v>
      </c>
      <c r="V92" s="9" t="n">
        <v>0.06539740322986019</v>
      </c>
      <c r="W92" s="9" t="n">
        <v>-1.216327281119075</v>
      </c>
      <c r="X92" s="9" t="n">
        <v>7.011419402303789</v>
      </c>
      <c r="Y92" s="9" t="n">
        <v>37.3211923514591</v>
      </c>
      <c r="Z92" s="9" t="n">
        <v>40.78597033586147</v>
      </c>
      <c r="AA92" s="9" t="n">
        <v>3.255190244162478</v>
      </c>
      <c r="AB92" s="9" t="n">
        <v>42.57357440689503</v>
      </c>
      <c r="AC92" s="9" t="n">
        <v>0.869785852767989</v>
      </c>
      <c r="AD92" s="9" t="n">
        <v>282.6416203703702</v>
      </c>
      <c r="AE92" s="9" t="n">
        <v>282.6416203703702</v>
      </c>
      <c r="AF92" s="9" t="n">
        <v>282.6416203703702</v>
      </c>
      <c r="AG92" s="9" t="n">
        <v>17778.05978125</v>
      </c>
      <c r="AH92" s="8" t="inlineStr">
        <is>
          <t>Moderate (5.0-5.9)</t>
        </is>
      </c>
    </row>
    <row r="93">
      <c r="A93" s="8" t="inlineStr">
        <is>
          <t>2025-07-20 05:45:33.000</t>
        </is>
      </c>
      <c r="B93" s="8" t="n">
        <v>2025</v>
      </c>
      <c r="C93" s="9" t="n">
        <v>19.73</v>
      </c>
      <c r="D93" s="9" t="n">
        <v>121.4</v>
      </c>
      <c r="E93" s="8" t="n">
        <v>33</v>
      </c>
      <c r="F93" s="9" t="n">
        <v>5.5</v>
      </c>
      <c r="G93" s="9" t="n">
        <v>3</v>
      </c>
      <c r="H93" s="9" t="n">
        <v>5.2</v>
      </c>
      <c r="I93" s="9" t="n">
        <v>4.833333333333334</v>
      </c>
      <c r="J93" s="9" t="n">
        <v>0.5689391661997586</v>
      </c>
      <c r="K93" s="9" t="n">
        <v>2.951160356985459</v>
      </c>
      <c r="L93" s="9" t="n">
        <v>0.1737145858286943</v>
      </c>
      <c r="M93" s="9" t="n">
        <v>0.0789976285616204</v>
      </c>
      <c r="N93" s="9" t="n">
        <v>0.8985403073860382</v>
      </c>
      <c r="O93" s="9" t="n">
        <v>4.430698607218231</v>
      </c>
      <c r="P93" s="9" t="n">
        <v>0.4332910804119357</v>
      </c>
      <c r="Q93" s="9" t="n">
        <v>0.1619222632352421</v>
      </c>
      <c r="R93" s="9" t="n">
        <v>0.0128718634405178</v>
      </c>
      <c r="S93" s="9" t="n">
        <v>0.26900406047708</v>
      </c>
      <c r="T93" s="9" t="n">
        <v>55088451402.13732</v>
      </c>
      <c r="U93" s="9" t="n">
        <v>0.0196418550329597</v>
      </c>
      <c r="V93" s="9" t="n">
        <v>0.002015482714507</v>
      </c>
      <c r="W93" s="9" t="n">
        <v>-1.441153384245784</v>
      </c>
      <c r="X93" s="9" t="n">
        <v>2.493476575328339</v>
      </c>
      <c r="Y93" s="9" t="n">
        <v>17.3621539123353</v>
      </c>
      <c r="Z93" s="9" t="n">
        <v>18.83645157415317</v>
      </c>
      <c r="AA93" s="9" t="n">
        <v>1.868663084880127</v>
      </c>
      <c r="AB93" s="9" t="n">
        <v>18.29466725764429</v>
      </c>
      <c r="AC93" s="9" t="n">
        <v>7.071434663194885</v>
      </c>
      <c r="AD93" s="9" t="n">
        <v>676.7793402777752</v>
      </c>
      <c r="AE93" s="9" t="n">
        <v>26046.07248842593</v>
      </c>
      <c r="AF93" s="9" t="n">
        <v>43535.17270833333</v>
      </c>
      <c r="AG93" s="9" t="n">
        <v>43535.17270833333</v>
      </c>
      <c r="AH93" s="8" t="inlineStr">
        <is>
          <t>Moderate (5.0-5.9)</t>
        </is>
      </c>
    </row>
    <row r="94">
      <c r="A94" s="8" t="inlineStr">
        <is>
          <t>2025-10-10 11:12:05.000</t>
        </is>
      </c>
      <c r="B94" s="8" t="n">
        <v>2025</v>
      </c>
      <c r="C94" s="9" t="n">
        <v>7.07</v>
      </c>
      <c r="D94" s="9" t="n">
        <v>126.9</v>
      </c>
      <c r="E94" s="8" t="n">
        <v>37</v>
      </c>
      <c r="F94" s="9" t="n">
        <v>6.8</v>
      </c>
      <c r="G94" s="9" t="n">
        <v>15</v>
      </c>
      <c r="H94" s="9" t="n">
        <v>7.4</v>
      </c>
      <c r="I94" s="9" t="n">
        <v>4.873333333333333</v>
      </c>
      <c r="J94" s="9" t="n">
        <v>0.2756487674004181</v>
      </c>
      <c r="K94" s="9" t="n">
        <v>1.874647706887985</v>
      </c>
      <c r="L94" s="9" t="n">
        <v>0.0386457218484639</v>
      </c>
      <c r="M94" s="9" t="n">
        <v>0.1239383053893617</v>
      </c>
      <c r="N94" s="9" t="n">
        <v>0.4237019335641483</v>
      </c>
      <c r="O94" s="9" t="n">
        <v>2.720569659148704</v>
      </c>
      <c r="P94" s="9" t="n">
        <v>0.0913082892479234</v>
      </c>
      <c r="Q94" s="9" t="n">
        <v>0.1756306383575266</v>
      </c>
      <c r="R94" s="9" t="n">
        <v>0.5991435167029113</v>
      </c>
      <c r="S94" s="9" t="n">
        <v>0.9790482798521136</v>
      </c>
      <c r="T94" s="9" t="n">
        <v>4575238780242.144</v>
      </c>
      <c r="U94" s="9" t="n">
        <v>0.1489545239286014</v>
      </c>
      <c r="V94" s="9" t="n">
        <v>0.0535666145256537</v>
      </c>
      <c r="W94" s="9" t="n">
        <v>-1</v>
      </c>
      <c r="X94" s="9" t="n">
        <v>9.889501299786859</v>
      </c>
      <c r="Y94" s="9" t="n">
        <v>0.9606155405762792</v>
      </c>
      <c r="Z94" s="9" t="n">
        <v>32.34254034897963</v>
      </c>
      <c r="AA94" s="9" t="n">
        <v>17.91359308768408</v>
      </c>
      <c r="AB94" s="9" t="n">
        <v>38.43453095362081</v>
      </c>
      <c r="AC94" s="9" t="n">
        <v>-57.72764305997195</v>
      </c>
      <c r="AD94" s="9" t="n">
        <v>0.3945601851883111</v>
      </c>
      <c r="AE94" s="9" t="n">
        <v>0.3945601851883111</v>
      </c>
      <c r="AF94" s="9" t="n">
        <v>0.3945601851883111</v>
      </c>
      <c r="AG94" s="9" t="n">
        <v>30088.50311342593</v>
      </c>
      <c r="AH94" s="8" t="inlineStr">
        <is>
          <t>Strong (6.0-6.9)</t>
        </is>
      </c>
    </row>
    <row r="95">
      <c r="A95" s="8" t="inlineStr">
        <is>
          <t>2025-10-16 23:03:13.000</t>
        </is>
      </c>
      <c r="B95" s="8" t="n">
        <v>2025</v>
      </c>
      <c r="C95" s="9" t="n">
        <v>9.69</v>
      </c>
      <c r="D95" s="9" t="n">
        <v>126.22</v>
      </c>
      <c r="E95" s="8" t="n">
        <v>28</v>
      </c>
      <c r="F95" s="9" t="n">
        <v>6</v>
      </c>
      <c r="G95" s="9" t="n">
        <v>6</v>
      </c>
      <c r="H95" s="9" t="n">
        <v>6</v>
      </c>
      <c r="I95" s="9" t="n">
        <v>4.616666666666666</v>
      </c>
      <c r="J95" s="9" t="n">
        <v>0.2780078414058046</v>
      </c>
      <c r="K95" s="9" t="n">
        <v>1.562244965488983</v>
      </c>
      <c r="L95" s="9" t="n">
        <v>0.0539995935615262</v>
      </c>
      <c r="M95" s="9" t="n">
        <v>0.0916045655883659</v>
      </c>
      <c r="N95" s="9" t="n">
        <v>0.5790593092043358</v>
      </c>
      <c r="O95" s="9" t="n">
        <v>3.02498221521874</v>
      </c>
      <c r="P95" s="9" t="n">
        <v>0.2342731383838642</v>
      </c>
      <c r="Q95" s="9" t="n">
        <v>0.1877740159577322</v>
      </c>
      <c r="R95" s="9" t="n">
        <v>0.3805722975684231</v>
      </c>
      <c r="S95" s="9" t="n">
        <v>0.7760407834989174</v>
      </c>
      <c r="T95" s="9" t="n">
        <v>252840006359.7847</v>
      </c>
      <c r="U95" s="9" t="n">
        <v>0.1465468459490625</v>
      </c>
      <c r="V95" s="9" t="n">
        <v>0.0183156388887341</v>
      </c>
      <c r="W95" s="9" t="n">
        <v>0</v>
      </c>
      <c r="X95" s="9" t="n">
        <v>2.94838160771614</v>
      </c>
      <c r="Y95" s="9" t="n">
        <v>2.69461711936809</v>
      </c>
      <c r="Z95" s="9" t="n">
        <v>31.63636161424789</v>
      </c>
      <c r="AA95" s="9" t="n">
        <v>23.99851056281084</v>
      </c>
      <c r="AB95" s="9" t="n">
        <v>54.72965568417485</v>
      </c>
      <c r="AC95" s="9" t="n">
        <v>4.911665146327061</v>
      </c>
      <c r="AD95" s="9" t="n">
        <v>5.35436342592584</v>
      </c>
      <c r="AE95" s="9" t="n">
        <v>3170.374663773153</v>
      </c>
      <c r="AF95" s="9" t="n">
        <v>26874.50423611111</v>
      </c>
      <c r="AG95" s="9" t="n">
        <v>26874.50423611111</v>
      </c>
      <c r="AH95" s="8" t="inlineStr">
        <is>
          <t>Strong (6.0-6.9)</t>
        </is>
      </c>
    </row>
    <row r="96">
      <c r="A96" s="8" t="inlineStr">
        <is>
          <t>2025-10-18 12:31:31.000</t>
        </is>
      </c>
      <c r="B96" s="8" t="n">
        <v>2025</v>
      </c>
      <c r="C96" s="9" t="n">
        <v>8.84</v>
      </c>
      <c r="D96" s="9" t="n">
        <v>126.45</v>
      </c>
      <c r="E96" s="8" t="n">
        <v>34</v>
      </c>
      <c r="F96" s="9" t="n">
        <v>5.5</v>
      </c>
      <c r="G96" s="9" t="n">
        <v>5</v>
      </c>
      <c r="H96" s="9" t="n">
        <v>6</v>
      </c>
      <c r="I96" s="9" t="n">
        <v>4.98</v>
      </c>
      <c r="J96" s="9" t="n">
        <v/>
      </c>
      <c r="K96" s="9" t="n">
        <v/>
      </c>
      <c r="L96" s="9" t="n">
        <v/>
      </c>
      <c r="M96" s="9" t="n">
        <v/>
      </c>
      <c r="N96" s="9" t="n">
        <v/>
      </c>
      <c r="O96" s="9" t="n">
        <v/>
      </c>
      <c r="P96" s="9" t="n">
        <v/>
      </c>
      <c r="Q96" s="9" t="n">
        <v/>
      </c>
      <c r="R96" s="9" t="n">
        <v/>
      </c>
      <c r="S96" s="9" t="n">
        <v/>
      </c>
      <c r="T96" s="9" t="n">
        <v>355550821608.1812</v>
      </c>
      <c r="U96" s="9" t="n">
        <v/>
      </c>
      <c r="V96" s="9" t="n">
        <v/>
      </c>
      <c r="W96" s="9" t="n">
        <v>-1.507556722888818</v>
      </c>
      <c r="X96" s="9" t="n">
        <v>2.170138139851472</v>
      </c>
      <c r="Y96" s="9" t="n">
        <v>24.6740831691774</v>
      </c>
      <c r="Z96" s="9" t="n">
        <v>53.99908106124185</v>
      </c>
      <c r="AA96" s="9" t="n">
        <v>18.41104357284471</v>
      </c>
      <c r="AB96" s="9" t="n">
        <v>62.56863094505436</v>
      </c>
      <c r="AC96" s="9" t="n">
        <v>4.9619884110382</v>
      </c>
      <c r="AD96" s="9" t="n">
        <v>1.561319444444962</v>
      </c>
      <c r="AE96" s="9" t="n">
        <v>441.5892824074108</v>
      </c>
      <c r="AF96" s="9" t="n">
        <v>685.9128125000061</v>
      </c>
      <c r="AG96" s="9" t="n">
        <v>26876.06555555556</v>
      </c>
      <c r="AH96" s="8" t="inlineStr">
        <is>
          <t>Moderate (5.0-5.9)</t>
        </is>
      </c>
    </row>
    <row r="97">
      <c r="A97" s="8" t="inlineStr">
        <is>
          <t>2025-10-31 21:21:01.000</t>
        </is>
      </c>
      <c r="B97" s="8" t="n">
        <v>2025</v>
      </c>
      <c r="C97" s="9" t="n">
        <v>6.14</v>
      </c>
      <c r="D97" s="9" t="n">
        <v>127.6</v>
      </c>
      <c r="E97" s="8" t="n">
        <v>24</v>
      </c>
      <c r="F97" s="9" t="n">
        <v>5</v>
      </c>
      <c r="G97" s="9" t="n">
        <v>11</v>
      </c>
      <c r="H97" s="9" t="n">
        <v>5.7</v>
      </c>
      <c r="I97" s="9" t="n">
        <v>4.50909090909091</v>
      </c>
      <c r="J97" s="9" t="n">
        <v>0.5624930718782133</v>
      </c>
      <c r="K97" s="9" t="n">
        <v>3.123771617704914</v>
      </c>
      <c r="L97" s="9" t="n">
        <v>0.1154607716727729</v>
      </c>
      <c r="M97" s="9" t="n">
        <v>0.0694496670644415</v>
      </c>
      <c r="N97" s="9" t="n">
        <v>0.5990268715906925</v>
      </c>
      <c r="O97" s="9" t="n">
        <v>3.23777822632701</v>
      </c>
      <c r="P97" s="9" t="n">
        <v>0.1309461426836993</v>
      </c>
      <c r="Q97" s="9" t="n">
        <v>0.1331834684497943</v>
      </c>
      <c r="R97" s="9" t="n">
        <v>0.1465598353516268</v>
      </c>
      <c r="S97" s="9" t="n">
        <v>0.2949365881880794</v>
      </c>
      <c r="T97" s="9" t="n">
        <v>146175511593.4247</v>
      </c>
      <c r="U97" s="9" t="n">
        <v>0.0205362330593693</v>
      </c>
      <c r="V97" s="9" t="n">
        <v>0.0159558294385509</v>
      </c>
      <c r="W97" s="9" t="n">
        <v>0.7006490497453708</v>
      </c>
      <c r="X97" s="9" t="n">
        <v>10.2142758622001</v>
      </c>
      <c r="Y97" s="9" t="n">
        <v>9.19421633287747</v>
      </c>
      <c r="Z97" s="9" t="n">
        <v>26.26715345927888</v>
      </c>
      <c r="AA97" s="9" t="n">
        <v>15.80486036953779</v>
      </c>
      <c r="AB97" s="9" t="n">
        <v>12.24448722675727</v>
      </c>
      <c r="AC97" s="9" t="n">
        <v>-1.002303254147619</v>
      </c>
      <c r="AD97" s="9" t="n">
        <v>602.5064351851834</v>
      </c>
      <c r="AE97" s="9" t="n">
        <v>1542.149178240739</v>
      </c>
      <c r="AF97" s="9" t="n">
        <v>1542.149178240739</v>
      </c>
      <c r="AG97" s="9" t="n">
        <v>24874.54162037037</v>
      </c>
      <c r="AH97" s="8" t="inlineStr">
        <is>
          <t>Moderate (5.0-5.9)</t>
        </is>
      </c>
    </row>
    <row r="98">
      <c r="A98" s="8" t="inlineStr">
        <is>
          <t>2025-12-21 17:53:58.000</t>
        </is>
      </c>
      <c r="B98" s="8" t="n">
        <v>2025</v>
      </c>
      <c r="C98" s="9" t="n">
        <v>8.48</v>
      </c>
      <c r="D98" s="9" t="n">
        <v>127.47</v>
      </c>
      <c r="E98" s="8" t="n">
        <v>28</v>
      </c>
      <c r="F98" s="9" t="n">
        <v>5.8</v>
      </c>
      <c r="G98" s="9" t="n">
        <v>4</v>
      </c>
      <c r="H98" s="9" t="n">
        <v>5</v>
      </c>
      <c r="I98" s="9" t="n">
        <v>4.574999999999999</v>
      </c>
      <c r="J98" s="9" t="n">
        <v>0.6161890168142284</v>
      </c>
      <c r="K98" s="9" t="n">
        <v>3.127414400319028</v>
      </c>
      <c r="L98" s="9" t="n">
        <v>0.1760161141776039</v>
      </c>
      <c r="M98" s="9" t="n">
        <v>0.0718596236712663</v>
      </c>
      <c r="N98" s="9" t="n">
        <v>0.8272275845776234</v>
      </c>
      <c r="O98" s="9" t="n">
        <v>3.993693088096218</v>
      </c>
      <c r="P98" s="9" t="n">
        <v>0.3172302100679128</v>
      </c>
      <c r="Q98" s="9" t="n">
        <v>0.1335367222611581</v>
      </c>
      <c r="R98" s="9" t="n">
        <v>-0.0754140612374723</v>
      </c>
      <c r="S98" s="9" t="n">
        <v>0.1721954604120581</v>
      </c>
      <c r="T98" s="9" t="n">
        <v>39289700158.44644</v>
      </c>
      <c r="U98" s="9" t="n">
        <v>0.0141720589305525</v>
      </c>
      <c r="V98" s="9" t="n">
        <v>0.003298505755939</v>
      </c>
      <c r="W98" s="9" t="n">
        <v>0</v>
      </c>
      <c r="X98" s="9" t="n">
        <v>2.879218743967686</v>
      </c>
      <c r="Y98" s="9" t="n">
        <v>1.90718496670747</v>
      </c>
      <c r="Z98" s="9" t="n">
        <v>17.90113251280174</v>
      </c>
      <c r="AA98" s="9" t="n">
        <v>12.54589295576491</v>
      </c>
      <c r="AB98" s="9" t="n">
        <v>17.15376694307655</v>
      </c>
      <c r="AC98" s="9" t="n">
        <v>-2.548214050310738</v>
      </c>
      <c r="AD98" s="9" t="n">
        <v>505.5649884259256</v>
      </c>
      <c r="AE98" s="9" t="n">
        <v>505.8132060185162</v>
      </c>
      <c r="AF98" s="9" t="n">
        <v>750.1367361111115</v>
      </c>
      <c r="AG98" s="9" t="n">
        <v>30160.78219907407</v>
      </c>
      <c r="AH98" s="8" t="inlineStr">
        <is>
          <t>Moderate (5.0-5.9)</t>
        </is>
      </c>
    </row>
    <row r="99">
      <c r="A99" s="8" t="inlineStr">
        <is>
          <t>2026-01-07 03:02:54.000</t>
        </is>
      </c>
      <c r="B99" s="8" t="n">
        <v>2026</v>
      </c>
      <c r="C99" s="9" t="n">
        <v>7.2</v>
      </c>
      <c r="D99" s="9" t="n">
        <v>127.07</v>
      </c>
      <c r="E99" s="8" t="n">
        <v>16</v>
      </c>
      <c r="F99" s="9" t="n">
        <v>6.4</v>
      </c>
      <c r="G99" s="9" t="n">
        <v>4</v>
      </c>
      <c r="H99" s="9" t="n">
        <v>4.8</v>
      </c>
      <c r="I99" s="9" t="n">
        <v>4.4</v>
      </c>
      <c r="J99" s="9" t="n">
        <v>0.8784945822716368</v>
      </c>
      <c r="K99" s="9" t="n">
        <v>4.144325607573715</v>
      </c>
      <c r="L99" s="9" t="n">
        <v>0.2898613944745211</v>
      </c>
      <c r="M99" s="9" t="n">
        <v>0.1170940981825513</v>
      </c>
      <c r="N99" s="9" t="n">
        <v>0.9650988486738924</v>
      </c>
      <c r="O99" s="9" t="n">
        <v>4.462455386023533</v>
      </c>
      <c r="P99" s="9" t="n">
        <v>0.3498289908007952</v>
      </c>
      <c r="Q99" s="9" t="n">
        <v>0.1368525329800981</v>
      </c>
      <c r="R99" s="9" t="n">
        <v>0.0824687924002924</v>
      </c>
      <c r="S99" s="9" t="n">
        <v>0.1761675374960489</v>
      </c>
      <c r="T99" s="9" t="n">
        <v>24874033014.07536</v>
      </c>
      <c r="U99" s="9" t="n">
        <v>0.0023148148148148</v>
      </c>
      <c r="V99" s="9" t="n">
        <v>0.0012726338013398</v>
      </c>
      <c r="W99" s="9" t="n">
        <v>-2.82842712474619</v>
      </c>
      <c r="X99" s="9" t="n">
        <v>-0.1995376085016594</v>
      </c>
      <c r="Y99" s="9" t="n">
        <v>29.8188680081155</v>
      </c>
      <c r="Z99" s="9" t="n">
        <v>49.11654257977528</v>
      </c>
      <c r="AA99" s="9" t="n">
        <v>13.49890424510304</v>
      </c>
      <c r="AB99" s="9" t="n">
        <v>54.02122902724314</v>
      </c>
      <c r="AC99" s="9" t="n">
        <v>-1.01302418029444</v>
      </c>
      <c r="AD99" s="9" t="n">
        <v>88.66028935185022</v>
      </c>
      <c r="AE99" s="9" t="n">
        <v>88.66028935185022</v>
      </c>
      <c r="AF99" s="9" t="n">
        <v>89.05484953703854</v>
      </c>
      <c r="AG99" s="9" t="n">
        <v>30177.16340277778</v>
      </c>
      <c r="AH99" s="8" t="inlineStr">
        <is>
          <t>Strong (6.0-6.9)</t>
        </is>
      </c>
    </row>
    <row r="100">
      <c r="A100" s="8" t="inlineStr">
        <is>
          <t>2026-01-13 01:27:12.000</t>
        </is>
      </c>
      <c r="B100" s="8" t="n">
        <v>2026</v>
      </c>
      <c r="C100" s="9" t="n">
        <v>2.67</v>
      </c>
      <c r="D100" s="9" t="n">
        <v>126.72</v>
      </c>
      <c r="E100" s="8" t="n">
        <v>100</v>
      </c>
      <c r="F100" s="9" t="n">
        <v>5.1</v>
      </c>
      <c r="G100" s="9" t="n">
        <v>6</v>
      </c>
      <c r="H100" s="9" t="n">
        <v>6.4</v>
      </c>
      <c r="I100" s="9" t="n">
        <v>4.816666666666667</v>
      </c>
      <c r="J100" s="9" t="n">
        <v>0.2172848089003169</v>
      </c>
      <c r="K100" s="9" t="n">
        <v>1.30461420677232</v>
      </c>
      <c r="L100" s="9" t="n">
        <v>0.0377641337247516</v>
      </c>
      <c r="M100" s="9" t="n">
        <v>0.07980472990864911</v>
      </c>
      <c r="N100" s="9" t="n">
        <v>0.3216996162246308</v>
      </c>
      <c r="O100" s="9" t="n">
        <v>1.74867826867482</v>
      </c>
      <c r="P100" s="9" t="n">
        <v>0.08277932554261409</v>
      </c>
      <c r="Q100" s="9" t="n">
        <v>0.1956293319886223</v>
      </c>
      <c r="R100" s="9" t="n">
        <v>0.3958333333333321</v>
      </c>
      <c r="S100" s="9" t="n">
        <v>0.9642513062440736</v>
      </c>
      <c r="T100" s="9" t="n">
        <v>577641781534.7397</v>
      </c>
      <c r="U100" s="9" t="n">
        <v>0.2229182234588482</v>
      </c>
      <c r="V100" s="9" t="n">
        <v>0.1083680232218959</v>
      </c>
      <c r="W100" s="9" t="n">
        <v>-0.8164965809277259</v>
      </c>
      <c r="X100" s="9" t="n">
        <v>3.755363091487399</v>
      </c>
      <c r="Y100" s="9" t="n">
        <v>206.352972913339</v>
      </c>
      <c r="Z100" s="9" t="n">
        <v>238.0415785526805</v>
      </c>
      <c r="AA100" s="9" t="n">
        <v>32.32542501150125</v>
      </c>
      <c r="AB100" s="9" t="n">
        <v>206.5663125879777</v>
      </c>
      <c r="AC100" s="9" t="n">
        <v>-4.78215885401745</v>
      </c>
      <c r="AD100" s="9" t="n">
        <v>2.436701388884103</v>
      </c>
      <c r="AE100" s="9" t="n">
        <v>643.6522337962961</v>
      </c>
      <c r="AF100" s="9" t="n">
        <v>1090.806273148148</v>
      </c>
      <c r="AG100" s="9" t="n">
        <v>43535.17270833333</v>
      </c>
      <c r="AH100" s="8" t="inlineStr">
        <is>
          <t>Moderate (5.0-5.9)</t>
        </is>
      </c>
    </row>
    <row r="101">
      <c r="A101" s="8" t="inlineStr">
        <is>
          <t>2026-01-21 01:33:04.000</t>
        </is>
      </c>
      <c r="B101" s="8" t="n">
        <v>2026</v>
      </c>
      <c r="C101" s="9" t="n">
        <v>6.37</v>
      </c>
      <c r="D101" s="9" t="n">
        <v>123.71</v>
      </c>
      <c r="E101" s="8" t="n">
        <v>17</v>
      </c>
      <c r="F101" s="9" t="n">
        <v>5.1</v>
      </c>
      <c r="G101" s="9" t="n">
        <v>11</v>
      </c>
      <c r="H101" s="9" t="n">
        <v>5.2</v>
      </c>
      <c r="I101" s="9" t="n">
        <v>4.381818181818182</v>
      </c>
      <c r="J101" s="9" t="n">
        <v>0.8996755891642793</v>
      </c>
      <c r="K101" s="9" t="n">
        <v>4.612594294683555</v>
      </c>
      <c r="L101" s="9" t="n">
        <v>0.2185772954377782</v>
      </c>
      <c r="M101" s="9" t="n">
        <v>0.0631723550098989</v>
      </c>
      <c r="N101" s="9" t="n">
        <v>1.030529279092463</v>
      </c>
      <c r="O101" s="9" t="n">
        <v>5.173321012202603</v>
      </c>
      <c r="P101" s="9" t="n">
        <v>0.2867832913102152</v>
      </c>
      <c r="Q101" s="9" t="n">
        <v>0.08722194303510861</v>
      </c>
      <c r="R101" s="9" t="n">
        <v>0.0730471847432738</v>
      </c>
      <c r="S101" s="9" t="n">
        <v>0.1799378657552619</v>
      </c>
      <c r="T101" s="9" t="n">
        <v>59190085521.52133</v>
      </c>
      <c r="U101" s="9" t="n">
        <v>0.0019997386130848</v>
      </c>
      <c r="V101" s="9" t="n">
        <v>0.000809864127823</v>
      </c>
      <c r="W101" s="9" t="n">
        <v>-1.704112672331263</v>
      </c>
      <c r="X101" s="9" t="n">
        <v>9.984902832208981</v>
      </c>
      <c r="Y101" s="9" t="n">
        <v>13.9230650681111</v>
      </c>
      <c r="Z101" s="9" t="n">
        <v>17.22732637135146</v>
      </c>
      <c r="AA101" s="9" t="n">
        <v>3.704999701928861</v>
      </c>
      <c r="AB101" s="9" t="n">
        <v>15.91617152321028</v>
      </c>
      <c r="AC101" s="9" t="n">
        <v>-1.473370834817759</v>
      </c>
      <c r="AD101" s="9" t="n">
        <v>558.9721180555498</v>
      </c>
      <c r="AE101" s="9" t="n">
        <v>558.9721180555498</v>
      </c>
      <c r="AF101" s="9" t="n">
        <v>558.9721180555498</v>
      </c>
      <c r="AG101" s="9" t="n">
        <v>18054.39027893518</v>
      </c>
      <c r="AH101" s="8" t="inlineStr">
        <is>
          <t>Moderate (5.0-5.9)</t>
        </is>
      </c>
    </row>
    <row r="102">
      <c r="A102" s="8" t="inlineStr">
        <is>
          <t>2026-01-27 17:05:08.000</t>
        </is>
      </c>
      <c r="B102" s="8" t="n">
        <v>2026</v>
      </c>
      <c r="C102" s="9" t="n">
        <v>6.42</v>
      </c>
      <c r="D102" s="9" t="n">
        <v>123.68</v>
      </c>
      <c r="E102" s="8" t="n">
        <v>14</v>
      </c>
      <c r="F102" s="9" t="n">
        <v>5.2</v>
      </c>
      <c r="G102" s="9" t="n">
        <v>20</v>
      </c>
      <c r="H102" s="9" t="n">
        <v>5.2</v>
      </c>
      <c r="I102" s="9" t="n">
        <v>4.404999999999999</v>
      </c>
      <c r="J102" s="9" t="n">
        <v>1.08156334836416</v>
      </c>
      <c r="K102" s="9" t="n">
        <v>5.728263304578634</v>
      </c>
      <c r="L102" s="9" t="n">
        <v>0.2186419847055567</v>
      </c>
      <c r="M102" s="9" t="n">
        <v>0.0612300721639822</v>
      </c>
      <c r="N102" s="9" t="n">
        <v>1.048297025283713</v>
      </c>
      <c r="O102" s="9" t="n">
        <v>5.548975541869832</v>
      </c>
      <c r="P102" s="9" t="n">
        <v>0.2053990093066038</v>
      </c>
      <c r="Q102" s="9" t="n">
        <v>0.0643476022336853</v>
      </c>
      <c r="R102" s="9" t="n">
        <v>-0.09628090045997249</v>
      </c>
      <c r="S102" s="9" t="n">
        <v>-0.0933237508406064</v>
      </c>
      <c r="T102" s="9" t="n">
        <v>76913047842.78549</v>
      </c>
      <c r="U102" s="9" t="n">
        <v>0.0005692590646977</v>
      </c>
      <c r="V102" s="9" t="n">
        <v>0.0007163230466062</v>
      </c>
      <c r="W102" s="9" t="n">
        <v>-0.3897418814769785</v>
      </c>
      <c r="X102" s="9" t="n">
        <v>15.90520779416714</v>
      </c>
      <c r="Y102" s="9" t="n">
        <v>11.0919176088028</v>
      </c>
      <c r="Z102" s="9" t="n">
        <v>16.41030953403449</v>
      </c>
      <c r="AA102" s="9" t="n">
        <v>3.402664079771595</v>
      </c>
      <c r="AB102" s="9" t="n">
        <v>15.8103618239942</v>
      </c>
      <c r="AC102" s="9" t="n">
        <v>-0.4328526956701335</v>
      </c>
      <c r="AD102" s="9" t="n">
        <v>565.6193865740715</v>
      </c>
      <c r="AE102" s="9" t="n">
        <v>565.6193865740715</v>
      </c>
      <c r="AF102" s="9" t="n">
        <v>565.6193865740715</v>
      </c>
      <c r="AG102" s="9" t="n">
        <v>18061.0375474537</v>
      </c>
      <c r="AH102" s="8" t="inlineStr">
        <is>
          <t>Moderate (5.0-5.9)</t>
        </is>
      </c>
    </row>
    <row r="103">
      <c r="A103" s="8" t="inlineStr">
        <is>
          <t>2026-01-27 19:54:11.000</t>
        </is>
      </c>
      <c r="B103" s="8" t="n">
        <v>2026</v>
      </c>
      <c r="C103" s="9" t="n">
        <v>6.43</v>
      </c>
      <c r="D103" s="9" t="n">
        <v>123.67</v>
      </c>
      <c r="E103" s="8" t="n">
        <v>6</v>
      </c>
      <c r="F103" s="9" t="n">
        <v>5</v>
      </c>
      <c r="G103" s="9" t="n">
        <v>23</v>
      </c>
      <c r="H103" s="9" t="n">
        <v>5.2</v>
      </c>
      <c r="I103" s="9" t="n">
        <v>4.452173913043478</v>
      </c>
      <c r="J103" s="9" t="n">
        <v>0.9447275492557812</v>
      </c>
      <c r="K103" s="9" t="n">
        <v>5.226859368886695</v>
      </c>
      <c r="L103" s="9" t="n">
        <v>0.1616404615685421</v>
      </c>
      <c r="M103" s="9" t="n">
        <v>0.0468098116955471</v>
      </c>
      <c r="N103" s="9" t="n">
        <v>0.9650988486738924</v>
      </c>
      <c r="O103" s="9" t="n">
        <v>5.283864085808623</v>
      </c>
      <c r="P103" s="9" t="n">
        <v>0.1686865736294167</v>
      </c>
      <c r="Q103" s="9" t="n">
        <v>0.0612459147088766</v>
      </c>
      <c r="R103" s="9" t="n">
        <v>-0.3326632244441336</v>
      </c>
      <c r="S103" s="9" t="n">
        <v>-0.2749460048252983</v>
      </c>
      <c r="T103" s="9" t="n">
        <v>92319679344.1684</v>
      </c>
      <c r="U103" s="9" t="n">
        <v>0.0014649316167755</v>
      </c>
      <c r="V103" s="9" t="n">
        <v>0.0012726338013398</v>
      </c>
      <c r="W103" s="9" t="n">
        <v>-0.744793247238504</v>
      </c>
      <c r="X103" s="9" t="n">
        <v>17.67223300817753</v>
      </c>
      <c r="Y103" s="9" t="n">
        <v>7.30083288699449</v>
      </c>
      <c r="Z103" s="9" t="n">
        <v>15.6572904174625</v>
      </c>
      <c r="AA103" s="9" t="n">
        <v>3.840169239366213</v>
      </c>
      <c r="AB103" s="9" t="n">
        <v>14.84556679615341</v>
      </c>
      <c r="AC103" s="9" t="n">
        <v>-0.6537406163307404</v>
      </c>
      <c r="AD103" s="9" t="n">
        <v>565.7367824074026</v>
      </c>
      <c r="AE103" s="9" t="n">
        <v>565.7367824074026</v>
      </c>
      <c r="AF103" s="9" t="n">
        <v>565.7367824074026</v>
      </c>
      <c r="AG103" s="9" t="n">
        <v>18061.15494328703</v>
      </c>
      <c r="AH103" s="8" t="inlineStr">
        <is>
          <t>Moderate (5.0-5.9)</t>
        </is>
      </c>
    </row>
    <row r="104">
      <c r="A104" s="8" t="inlineStr">
        <is>
          <t>2026-01-28 01:41:47.000</t>
        </is>
      </c>
      <c r="B104" s="8" t="n">
        <v>2026</v>
      </c>
      <c r="C104" s="9" t="n">
        <v>6.47</v>
      </c>
      <c r="D104" s="9" t="n">
        <v>123.73</v>
      </c>
      <c r="E104" s="8" t="n">
        <v>2</v>
      </c>
      <c r="F104" s="9" t="n">
        <v>5.2</v>
      </c>
      <c r="G104" s="9" t="n">
        <v>25</v>
      </c>
      <c r="H104" s="9" t="n">
        <v>5.2</v>
      </c>
      <c r="I104" s="9" t="n">
        <v>4.48</v>
      </c>
      <c r="J104" s="9" t="n">
        <v>0.9676929463219526</v>
      </c>
      <c r="K104" s="9" t="n">
        <v>5.401086848375805</v>
      </c>
      <c r="L104" s="9" t="n">
        <v>0.1630822080486979</v>
      </c>
      <c r="M104" s="9" t="n">
        <v>0.0471284626039736</v>
      </c>
      <c r="N104" s="9" t="n">
        <v>0.9219659392359548</v>
      </c>
      <c r="O104" s="9" t="n">
        <v>5.151010545743839</v>
      </c>
      <c r="P104" s="9" t="n">
        <v>0.1480339017284395</v>
      </c>
      <c r="Q104" s="9" t="n">
        <v>0.0610570727127781</v>
      </c>
      <c r="R104" s="9" t="n">
        <v>-0.3814056193180688</v>
      </c>
      <c r="S104" s="9" t="n">
        <v>-0.3869857296599788</v>
      </c>
      <c r="T104" s="9" t="n">
        <v>98556934134.57216</v>
      </c>
      <c r="U104" s="9" t="n">
        <v>0.0012500320870101</v>
      </c>
      <c r="V104" s="9" t="n">
        <v>0.0017143606206945</v>
      </c>
      <c r="W104" s="9" t="n">
        <v>-0.0985329278164294</v>
      </c>
      <c r="X104" s="9" t="n">
        <v>18.79156974275707</v>
      </c>
      <c r="Y104" s="9" t="n">
        <v>7.30083288699449</v>
      </c>
      <c r="Z104" s="9" t="n">
        <v>15.82863954182426</v>
      </c>
      <c r="AA104" s="9" t="n">
        <v>4.066539680731544</v>
      </c>
      <c r="AB104" s="9" t="n">
        <v>14.79058212904632</v>
      </c>
      <c r="AC104" s="9" t="n">
        <v>-0.4468228124207542</v>
      </c>
      <c r="AD104" s="9" t="n">
        <v>565.978171296294</v>
      </c>
      <c r="AE104" s="9" t="n">
        <v>565.978171296294</v>
      </c>
      <c r="AF104" s="9" t="n">
        <v>565.978171296294</v>
      </c>
      <c r="AG104" s="9" t="n">
        <v>18061.39633217593</v>
      </c>
      <c r="AH104" s="8" t="inlineStr">
        <is>
          <t>Moderate (5.0-5.9)</t>
        </is>
      </c>
    </row>
    <row r="105">
      <c r="A105" s="8" t="inlineStr">
        <is>
          <t>2026-01-28 06:46:59.000</t>
        </is>
      </c>
      <c r="B105" s="8" t="n">
        <v>2026</v>
      </c>
      <c r="C105" s="9" t="n">
        <v>6.52</v>
      </c>
      <c r="D105" s="9" t="n">
        <v>123.69</v>
      </c>
      <c r="E105" s="8" t="n">
        <v>4</v>
      </c>
      <c r="F105" s="9" t="n">
        <v>5.9</v>
      </c>
      <c r="G105" s="9" t="n">
        <v>30</v>
      </c>
      <c r="H105" s="9" t="n">
        <v>5.2</v>
      </c>
      <c r="I105" s="9" t="n">
        <v>4.476666666666668</v>
      </c>
      <c r="J105" s="9" t="n">
        <v>0.8903623775854905</v>
      </c>
      <c r="K105" s="9" t="n">
        <v>5.12617822729465</v>
      </c>
      <c r="L105" s="9" t="n">
        <v>0.128982086510368</v>
      </c>
      <c r="M105" s="9" t="n">
        <v>0.0430461696239953</v>
      </c>
      <c r="N105" s="9" t="n">
        <v>0.8929419254085552</v>
      </c>
      <c r="O105" s="9" t="n">
        <v>5.092778767538139</v>
      </c>
      <c r="P105" s="9" t="n">
        <v>0.1297305400358026</v>
      </c>
      <c r="Q105" s="9" t="n">
        <v>0.0608278668523808</v>
      </c>
      <c r="R105" s="9" t="n">
        <v>-0.5574065979696519</v>
      </c>
      <c r="S105" s="9" t="n">
        <v>-0.5033706477697271</v>
      </c>
      <c r="T105" s="9" t="n">
        <v>110986019970.0648</v>
      </c>
      <c r="U105" s="9" t="n">
        <v>0.0021326170020228</v>
      </c>
      <c r="V105" s="9" t="n">
        <v>0.0020949527091405</v>
      </c>
      <c r="W105" s="9" t="n">
        <v>-0.2904453885428976</v>
      </c>
      <c r="X105" s="9" t="n">
        <v>21.94602473406065</v>
      </c>
      <c r="Y105" s="9" t="n">
        <v>7.30083288699449</v>
      </c>
      <c r="Z105" s="9" t="n">
        <v>15.67842961387654</v>
      </c>
      <c r="AA105" s="9" t="n">
        <v>3.887550617576747</v>
      </c>
      <c r="AB105" s="9" t="n">
        <v>15.59872187833807</v>
      </c>
      <c r="AC105" s="9" t="n">
        <v>-0.3670342762645144</v>
      </c>
      <c r="AD105" s="9" t="n">
        <v>566.190115740741</v>
      </c>
      <c r="AE105" s="9" t="n">
        <v>566.190115740741</v>
      </c>
      <c r="AF105" s="9" t="n">
        <v>566.190115740741</v>
      </c>
      <c r="AG105" s="9" t="n">
        <v>18061.60827662037</v>
      </c>
      <c r="AH105" s="8" t="inlineStr">
        <is>
          <t>Moderate (5.0-5.9)</t>
        </is>
      </c>
    </row>
    <row r="106">
      <c r="A106" s="8" t="inlineStr">
        <is>
          <t>2026-01-28 08:34:31.000</t>
        </is>
      </c>
      <c r="B106" s="8" t="n">
        <v>2026</v>
      </c>
      <c r="C106" s="9" t="n">
        <v>6.49</v>
      </c>
      <c r="D106" s="9" t="n">
        <v>123.67</v>
      </c>
      <c r="E106" s="8" t="n">
        <v>16</v>
      </c>
      <c r="F106" s="9" t="n">
        <v>5.5</v>
      </c>
      <c r="G106" s="9" t="n">
        <v>31</v>
      </c>
      <c r="H106" s="9" t="n">
        <v>5.9</v>
      </c>
      <c r="I106" s="9" t="n">
        <v>4.522580645161291</v>
      </c>
      <c r="J106" s="9" t="n">
        <v>0.9720439925386016</v>
      </c>
      <c r="K106" s="9" t="n">
        <v>5.518305989629082</v>
      </c>
      <c r="L106" s="9" t="n">
        <v>0.179067655682147</v>
      </c>
      <c r="M106" s="9" t="n">
        <v>0.1496258774235389</v>
      </c>
      <c r="N106" s="9" t="n">
        <v>0.8023110910662479</v>
      </c>
      <c r="O106" s="9" t="n">
        <v>4.731434418495834</v>
      </c>
      <c r="P106" s="9" t="n">
        <v>0.1219918728024354</v>
      </c>
      <c r="Q106" s="9" t="n">
        <v>0.1792909676709166</v>
      </c>
      <c r="R106" s="9" t="n">
        <v>0.2229874038752006</v>
      </c>
      <c r="S106" s="9" t="n">
        <v>0.0027433483340031</v>
      </c>
      <c r="T106" s="9" t="n">
        <v>232389403751.1802</v>
      </c>
      <c r="U106" s="9" t="n">
        <v>0.0012130201701243</v>
      </c>
      <c r="V106" s="9" t="n">
        <v>0.0039180207057482</v>
      </c>
      <c r="W106" s="9" t="n">
        <v>-0.3425943549137659</v>
      </c>
      <c r="X106" s="9" t="n">
        <v>22.17524673438673</v>
      </c>
      <c r="Y106" s="9" t="n">
        <v>7.30083288699449</v>
      </c>
      <c r="Z106" s="9" t="n">
        <v>15.67090345039925</v>
      </c>
      <c r="AA106" s="9" t="n">
        <v>3.822438673759366</v>
      </c>
      <c r="AB106" s="9" t="n">
        <v>15.49953613969872</v>
      </c>
      <c r="AC106" s="9" t="n">
        <v>-0.3521201725863503</v>
      </c>
      <c r="AD106" s="9" t="n">
        <v>566.264791666661</v>
      </c>
      <c r="AE106" s="9" t="n">
        <v>566.264791666661</v>
      </c>
      <c r="AF106" s="9" t="n">
        <v>566.264791666661</v>
      </c>
      <c r="AG106" s="9" t="n">
        <v>18061.68295254629</v>
      </c>
      <c r="AH106" s="8" t="inlineStr">
        <is>
          <t>Moderate (5.0-5.9)</t>
        </is>
      </c>
    </row>
    <row r="107">
      <c r="A107" s="8" t="inlineStr">
        <is>
          <t>2026-01-28 08:38:47.000</t>
        </is>
      </c>
      <c r="B107" s="8" t="n">
        <v>2026</v>
      </c>
      <c r="C107" s="9" t="n">
        <v>6.49</v>
      </c>
      <c r="D107" s="9" t="n">
        <v>123.67</v>
      </c>
      <c r="E107" s="8" t="n">
        <v>13</v>
      </c>
      <c r="F107" s="9" t="n">
        <v>5.3</v>
      </c>
      <c r="G107" s="9" t="n">
        <v>32</v>
      </c>
      <c r="H107" s="9" t="n">
        <v>5.9</v>
      </c>
      <c r="I107" s="9" t="n">
        <v>4.553125</v>
      </c>
      <c r="J107" s="9" t="n">
        <v>0.927432188595197</v>
      </c>
      <c r="K107" s="9" t="n">
        <v>5.372410376840577</v>
      </c>
      <c r="L107" s="9" t="n">
        <v>0.1690037106373273</v>
      </c>
      <c r="M107" s="9" t="n">
        <v>0.0950837876566225</v>
      </c>
      <c r="N107" s="9" t="n">
        <v>0.7552947511360899</v>
      </c>
      <c r="O107" s="9" t="n">
        <v>4.552449196483184</v>
      </c>
      <c r="P107" s="9" t="n">
        <v>0.1120894771413617</v>
      </c>
      <c r="Q107" s="9" t="n">
        <v>0.1342313563281194</v>
      </c>
      <c r="R107" s="9" t="n">
        <v>0.1072202766885945</v>
      </c>
      <c r="S107" s="9" t="n">
        <v>-0.1273809524500686</v>
      </c>
      <c r="T107" s="9" t="n">
        <v>248893787232.7708</v>
      </c>
      <c r="U107" s="9" t="n">
        <v>0.0016508341115252</v>
      </c>
      <c r="V107" s="9" t="n">
        <v>0.0054214536176622</v>
      </c>
      <c r="W107" s="9" t="n">
        <v>-0.3886501653787775</v>
      </c>
      <c r="X107" s="9" t="n">
        <v>22.66575688279278</v>
      </c>
      <c r="Y107" s="9" t="n">
        <v>7.30083288699449</v>
      </c>
      <c r="Z107" s="9" t="n">
        <v>15.60557212664862</v>
      </c>
      <c r="AA107" s="9" t="n">
        <v>3.778398529363751</v>
      </c>
      <c r="AB107" s="9" t="n">
        <v>15.23168333122823</v>
      </c>
      <c r="AC107" s="9" t="n">
        <v>-0.3572241154531448</v>
      </c>
      <c r="AD107" s="9" t="n">
        <v>566.2677546296254</v>
      </c>
      <c r="AE107" s="9" t="n">
        <v>566.2677546296254</v>
      </c>
      <c r="AF107" s="9" t="n">
        <v>566.2677546296254</v>
      </c>
      <c r="AG107" s="9" t="n">
        <v>18061.68591550926</v>
      </c>
      <c r="AH107" s="8" t="inlineStr">
        <is>
          <t>Moderate (5.0-5.9)</t>
        </is>
      </c>
    </row>
    <row r="108">
      <c r="A108" s="8" t="inlineStr">
        <is>
          <t>2026-02-13 15:55:16.000</t>
        </is>
      </c>
      <c r="B108" s="8" t="n">
        <v>2026</v>
      </c>
      <c r="C108" s="9" t="n">
        <v>4.22</v>
      </c>
      <c r="D108" s="9" t="n">
        <v>127.84</v>
      </c>
      <c r="E108" s="8" t="n">
        <v>62</v>
      </c>
      <c r="F108" s="9" t="n">
        <v>5.1</v>
      </c>
      <c r="G108" s="9" t="n">
        <v>3</v>
      </c>
      <c r="H108" s="9" t="n">
        <v>5.6</v>
      </c>
      <c r="I108" s="9" t="n">
        <v>4.8</v>
      </c>
      <c r="J108" s="9" t="n">
        <v>0.1572927213361525</v>
      </c>
      <c r="K108" s="9" t="n">
        <v>0.8231652416591979</v>
      </c>
      <c r="L108" s="9" t="n">
        <v>0.0227617201705059</v>
      </c>
      <c r="M108" s="9" t="n">
        <v>0.1172976773131738</v>
      </c>
      <c r="N108" s="9" t="n">
        <v>0.9650988486738944</v>
      </c>
      <c r="O108" s="9" t="n">
        <v>4.723556188884799</v>
      </c>
      <c r="P108" s="9" t="n">
        <v>0.856902524694742</v>
      </c>
      <c r="Q108" s="9" t="n">
        <v>0.3654471932107689</v>
      </c>
      <c r="R108" s="9" t="n">
        <v>0.3666666666666671</v>
      </c>
      <c r="S108" s="9" t="n">
        <v>0.7056244700993508</v>
      </c>
      <c r="T108" s="9" t="n">
        <v>110403791150.4609</v>
      </c>
      <c r="U108" s="9" t="n">
        <v>0.3373819437512045</v>
      </c>
      <c r="V108" s="9" t="n">
        <v>0.0012726338013397</v>
      </c>
      <c r="W108" s="9" t="n">
        <v>-1.441153384245784</v>
      </c>
      <c r="X108" s="9" t="n">
        <v>2.713064720295049</v>
      </c>
      <c r="Y108" s="9" t="n">
        <v>81.6946244982296</v>
      </c>
      <c r="Z108" s="9" t="n">
        <v>130.3350151064089</v>
      </c>
      <c r="AA108" s="9" t="n">
        <v>45.94739731322469</v>
      </c>
      <c r="AB108" s="9" t="n">
        <v>136.0294152374188</v>
      </c>
      <c r="AC108" s="9" t="n">
        <v>15.18987947540277</v>
      </c>
      <c r="AD108" s="9" t="n">
        <v>297.2347800925927</v>
      </c>
      <c r="AE108" s="9" t="n">
        <v>28082.38971064816</v>
      </c>
      <c r="AF108" s="9" t="n">
        <v>28082.38971064816</v>
      </c>
      <c r="AG108" s="9" t="n">
        <v>32825.57344907407</v>
      </c>
      <c r="AH108" s="8" t="inlineStr">
        <is>
          <t>Moderate (5.0-5.9)</t>
        </is>
      </c>
    </row>
  </sheetData>
  <autoFilter ref="A1:AH10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0" customWidth="1" min="4" max="4"/>
  </cols>
  <sheetData>
    <row r="1">
      <c r="A1" s="7" t="inlineStr">
        <is>
          <t>#</t>
        </is>
      </c>
      <c r="B1" s="7" t="inlineStr">
        <is>
          <t>Feature</t>
        </is>
      </c>
      <c r="C1" s="7" t="inlineStr">
        <is>
          <t>Category</t>
        </is>
      </c>
      <c r="D1" s="7" t="inlineStr">
        <is>
          <t>Description</t>
        </is>
      </c>
    </row>
    <row r="2">
      <c r="A2" s="8" t="n">
        <v>1</v>
      </c>
      <c r="B2" s="8" t="inlineStr">
        <is>
          <t>NO</t>
        </is>
      </c>
      <c r="C2" s="8" t="inlineStr">
        <is>
          <t>Basic statistics</t>
        </is>
      </c>
      <c r="D2" s="8" t="inlineStr">
        <is>
          <t>Number of earthquakes in the observation window</t>
        </is>
      </c>
    </row>
    <row r="3">
      <c r="A3" s="8" t="n">
        <v>2</v>
      </c>
      <c r="B3" s="8" t="inlineStr">
        <is>
          <t>Mag_max</t>
        </is>
      </c>
      <c r="C3" s="8" t="inlineStr">
        <is>
          <t>Basic statistics</t>
        </is>
      </c>
      <c r="D3" s="8" t="inlineStr">
        <is>
          <t>Maximum magnitude in the observation window</t>
        </is>
      </c>
    </row>
    <row r="4">
      <c r="A4" s="8" t="n">
        <v>3</v>
      </c>
      <c r="B4" s="8" t="inlineStr">
        <is>
          <t>Mag_mean</t>
        </is>
      </c>
      <c r="C4" s="8" t="inlineStr">
        <is>
          <t>Basic statistics</t>
        </is>
      </c>
      <c r="D4" s="8" t="inlineStr">
        <is>
          <t>Mean magnitude in the observation window</t>
        </is>
      </c>
    </row>
    <row r="5">
      <c r="A5" s="8" t="n">
        <v>4</v>
      </c>
      <c r="B5" s="8" t="inlineStr">
        <is>
          <t>b_lsq</t>
        </is>
      </c>
      <c r="C5" s="8" t="inlineStr">
        <is>
          <t>Gutenberg–Richter law</t>
        </is>
      </c>
      <c r="D5" s="8" t="inlineStr">
        <is>
          <t>b-value by least-squares regression</t>
        </is>
      </c>
    </row>
    <row r="6">
      <c r="A6" s="8" t="n">
        <v>5</v>
      </c>
      <c r="B6" s="8" t="inlineStr">
        <is>
          <t>a_lsq</t>
        </is>
      </c>
      <c r="C6" s="8" t="inlineStr">
        <is>
          <t>Gutenberg–Richter law</t>
        </is>
      </c>
      <c r="D6" s="8" t="inlineStr">
        <is>
          <t>a-value by least-squares regression</t>
        </is>
      </c>
    </row>
    <row r="7">
      <c r="A7" s="8" t="n">
        <v>6</v>
      </c>
      <c r="B7" s="8" t="inlineStr">
        <is>
          <t>b_std_lsq</t>
        </is>
      </c>
      <c r="C7" s="8" t="inlineStr">
        <is>
          <t>Gutenberg–Richter law</t>
        </is>
      </c>
      <c r="D7" s="8" t="inlineStr">
        <is>
          <t>Standard deviation of b_lsq</t>
        </is>
      </c>
    </row>
    <row r="8">
      <c r="A8" s="8" t="n">
        <v>7</v>
      </c>
      <c r="B8" s="8" t="inlineStr">
        <is>
          <t>std_gr_lsq</t>
        </is>
      </c>
      <c r="C8" s="8" t="inlineStr">
        <is>
          <t>Gutenberg–Richter law</t>
        </is>
      </c>
      <c r="D8" s="8" t="inlineStr">
        <is>
          <t>Deviation from the Gutenberg–Richter law (LSQ)</t>
        </is>
      </c>
    </row>
    <row r="9">
      <c r="A9" s="8" t="n">
        <v>8</v>
      </c>
      <c r="B9" s="8" t="inlineStr">
        <is>
          <t>b_mlk</t>
        </is>
      </c>
      <c r="C9" s="8" t="inlineStr">
        <is>
          <t>Gutenberg–Richter law</t>
        </is>
      </c>
      <c r="D9" s="8" t="inlineStr">
        <is>
          <t>b-value by maximum likelihood (Aki–Utsu)</t>
        </is>
      </c>
    </row>
    <row r="10">
      <c r="A10" s="8" t="n">
        <v>9</v>
      </c>
      <c r="B10" s="8" t="inlineStr">
        <is>
          <t>a_mlk</t>
        </is>
      </c>
      <c r="C10" s="8" t="inlineStr">
        <is>
          <t>Gutenberg–Richter law</t>
        </is>
      </c>
      <c r="D10" s="8" t="inlineStr">
        <is>
          <t>a-value by maximum likelihood</t>
        </is>
      </c>
    </row>
    <row r="11">
      <c r="A11" s="8" t="n">
        <v>10</v>
      </c>
      <c r="B11" s="8" t="inlineStr">
        <is>
          <t>b_std_mlk</t>
        </is>
      </c>
      <c r="C11" s="8" t="inlineStr">
        <is>
          <t>Gutenberg–Richter law</t>
        </is>
      </c>
      <c r="D11" s="8" t="inlineStr">
        <is>
          <t>Standard deviation of b_mlk</t>
        </is>
      </c>
    </row>
    <row r="12">
      <c r="A12" s="8" t="n">
        <v>11</v>
      </c>
      <c r="B12" s="8" t="inlineStr">
        <is>
          <t>std_gr_mlk</t>
        </is>
      </c>
      <c r="C12" s="8" t="inlineStr">
        <is>
          <t>Gutenberg–Richter law</t>
        </is>
      </c>
      <c r="D12" s="8" t="inlineStr">
        <is>
          <t>Deviation from the Gutenberg–Richter law (MLE)</t>
        </is>
      </c>
    </row>
    <row r="13">
      <c r="A13" s="8" t="n">
        <v>12</v>
      </c>
      <c r="B13" s="8" t="inlineStr">
        <is>
          <t>dM_lsq</t>
        </is>
      </c>
      <c r="C13" s="8" t="inlineStr">
        <is>
          <t>Energy and magnitude deficit</t>
        </is>
      </c>
      <c r="D13" s="8" t="inlineStr">
        <is>
          <t>Magnitude deficit from a_lsq and b_lsq</t>
        </is>
      </c>
    </row>
    <row r="14">
      <c r="A14" s="8" t="n">
        <v>13</v>
      </c>
      <c r="B14" s="8" t="inlineStr">
        <is>
          <t>dM_mlk</t>
        </is>
      </c>
      <c r="C14" s="8" t="inlineStr">
        <is>
          <t>Energy and magnitude deficit</t>
        </is>
      </c>
      <c r="D14" s="8" t="inlineStr">
        <is>
          <t>Magnitude deficit from a_mlk and b_mlk</t>
        </is>
      </c>
    </row>
    <row r="15">
      <c r="A15" s="8" t="n">
        <v>14</v>
      </c>
      <c r="B15" s="8" t="inlineStr">
        <is>
          <t>Energy</t>
        </is>
      </c>
      <c r="C15" s="8" t="inlineStr">
        <is>
          <t>Energy and magnitude deficit</t>
        </is>
      </c>
      <c r="D15" s="8" t="inlineStr">
        <is>
          <t>Square root of the summed seismic energy release</t>
        </is>
      </c>
    </row>
    <row r="16">
      <c r="A16" s="8" t="n">
        <v>15</v>
      </c>
      <c r="B16" s="8" t="inlineStr">
        <is>
          <t>x7_lsq</t>
        </is>
      </c>
      <c r="C16" s="8" t="inlineStr">
        <is>
          <t>Activity-rate change and probability</t>
        </is>
      </c>
      <c r="D16" s="8" t="inlineStr">
        <is>
          <t>Probability of occurrence derived from b_lsq</t>
        </is>
      </c>
    </row>
    <row r="17">
      <c r="A17" s="8" t="n">
        <v>16</v>
      </c>
      <c r="B17" s="8" t="inlineStr">
        <is>
          <t>x7_mlk</t>
        </is>
      </c>
      <c r="C17" s="8" t="inlineStr">
        <is>
          <t>Activity-rate change and probability</t>
        </is>
      </c>
      <c r="D17" s="8" t="inlineStr">
        <is>
          <t>Probability of occurrence derived from b_mlk</t>
        </is>
      </c>
    </row>
    <row r="18">
      <c r="A18" s="8" t="n">
        <v>17</v>
      </c>
      <c r="B18" s="8" t="inlineStr">
        <is>
          <t>zvalue</t>
        </is>
      </c>
      <c r="C18" s="8" t="inlineStr">
        <is>
          <t>Activity-rate change and probability</t>
        </is>
      </c>
      <c r="D18" s="8" t="inlineStr">
        <is>
          <t>Seismic rate change (z statistic)</t>
        </is>
      </c>
    </row>
    <row r="19">
      <c r="A19" s="8" t="n">
        <v>18</v>
      </c>
      <c r="B19" s="8" t="inlineStr">
        <is>
          <t>beta</t>
        </is>
      </c>
      <c r="C19" s="8" t="inlineStr">
        <is>
          <t>Activity-rate change and probability</t>
        </is>
      </c>
      <c r="D19" s="8" t="inlineStr">
        <is>
          <t>Seismic rate change (β statistic)</t>
        </is>
      </c>
    </row>
    <row r="20">
      <c r="A20" s="8" t="n">
        <v>19</v>
      </c>
      <c r="B20" s="8" t="inlineStr">
        <is>
          <t>T_elaps6</t>
        </is>
      </c>
      <c r="C20" s="8" t="inlineStr">
        <is>
          <t>Time elapsed</t>
        </is>
      </c>
      <c r="D20" s="8" t="inlineStr">
        <is>
          <t>Days since the last M 6.0 earthquake</t>
        </is>
      </c>
    </row>
    <row r="21">
      <c r="A21" s="8" t="n">
        <v>20</v>
      </c>
      <c r="B21" s="8" t="inlineStr">
        <is>
          <t>T_elaps65</t>
        </is>
      </c>
      <c r="C21" s="8" t="inlineStr">
        <is>
          <t>Time elapsed</t>
        </is>
      </c>
      <c r="D21" s="8" t="inlineStr">
        <is>
          <t>Days since the last M 6.5 earthquake</t>
        </is>
      </c>
    </row>
    <row r="22">
      <c r="A22" s="8" t="n">
        <v>21</v>
      </c>
      <c r="B22" s="8" t="inlineStr">
        <is>
          <t>T_elaps7</t>
        </is>
      </c>
      <c r="C22" s="8" t="inlineStr">
        <is>
          <t>Time elapsed</t>
        </is>
      </c>
      <c r="D22" s="8" t="inlineStr">
        <is>
          <t>Days since the last M 7.0 earthquake</t>
        </is>
      </c>
    </row>
    <row r="23">
      <c r="A23" s="8" t="n">
        <v>22</v>
      </c>
      <c r="B23" s="8" t="inlineStr">
        <is>
          <t>T_elaps75</t>
        </is>
      </c>
      <c r="C23" s="8" t="inlineStr">
        <is>
          <t>Time elapsed</t>
        </is>
      </c>
      <c r="D23" s="8" t="inlineStr">
        <is>
          <t>Days since the last M 7.5 earthquake</t>
        </is>
      </c>
    </row>
    <row r="24">
      <c r="A24" s="8" t="n">
        <v>23</v>
      </c>
      <c r="B24" s="8" t="inlineStr">
        <is>
          <t>Dist_min</t>
        </is>
      </c>
      <c r="C24" s="8" t="inlineStr">
        <is>
          <t>Distance to nearest fault</t>
        </is>
      </c>
      <c r="D24" s="8" t="inlineStr">
        <is>
          <t>Closest approach to an active fault in the observation window</t>
        </is>
      </c>
    </row>
    <row r="25">
      <c r="A25" s="8" t="n">
        <v>24</v>
      </c>
      <c r="B25" s="8" t="inlineStr">
        <is>
          <t>Dist_mean</t>
        </is>
      </c>
      <c r="C25" s="8" t="inlineStr">
        <is>
          <t>Distance to nearest fault</t>
        </is>
      </c>
      <c r="D25" s="8" t="inlineStr">
        <is>
          <t>Mean distance to the nearest active fault</t>
        </is>
      </c>
    </row>
    <row r="26">
      <c r="A26" s="8" t="n">
        <v>25</v>
      </c>
      <c r="B26" s="8" t="inlineStr">
        <is>
          <t>Dist_std</t>
        </is>
      </c>
      <c r="C26" s="8" t="inlineStr">
        <is>
          <t>Distance to nearest fault</t>
        </is>
      </c>
      <c r="D26" s="8" t="inlineStr">
        <is>
          <t>Standard deviation of the fault distances</t>
        </is>
      </c>
    </row>
    <row r="27">
      <c r="A27" s="8" t="n">
        <v>26</v>
      </c>
      <c r="B27" s="8" t="inlineStr">
        <is>
          <t>Dist_wmean</t>
        </is>
      </c>
      <c r="C27" s="8" t="inlineStr">
        <is>
          <t>Distance to nearest fault</t>
        </is>
      </c>
      <c r="D27" s="8" t="inlineStr">
        <is>
          <t>Fault distance weighted by released energy</t>
        </is>
      </c>
    </row>
    <row r="28">
      <c r="A28" s="8" t="n">
        <v>27</v>
      </c>
      <c r="B28" s="8" t="inlineStr">
        <is>
          <t>Dist_trend</t>
        </is>
      </c>
      <c r="C28" s="8" t="inlineStr">
        <is>
          <t>Distance to nearest fault</t>
        </is>
      </c>
      <c r="D28" s="8" t="inlineStr">
        <is>
          <t>Change in fault distance across the window, km per 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2026-10-09T08:48:29Z</dcterms:created>
  <dcterms:modified xmlns:dcterms="http://purl.org/dc/terms/" xmlns:xsi="http://www.w3.org/2001/XMLSchema-instance" xsi:type="dcterms:W3CDTF">2026-10-09T08:48:30Z</dcterms:modified>
</cp:coreProperties>
</file>